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f357382c1fb16cf/Desktop/"/>
    </mc:Choice>
  </mc:AlternateContent>
  <xr:revisionPtr revIDLastSave="0" documentId="8_{E494E259-8E5C-4BB6-B42F-776A51478D67}" xr6:coauthVersionLast="47" xr6:coauthVersionMax="47" xr10:uidLastSave="{00000000-0000-0000-0000-000000000000}"/>
  <bookViews>
    <workbookView xWindow="885" yWindow="0" windowWidth="27915" windowHeight="18000"/>
  </bookViews>
  <sheets>
    <sheet name="Report_TicketBuyerReport_3-18-2" sheetId="1" r:id="rId1"/>
  </sheets>
  <calcPr calcId="0"/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</calcChain>
</file>

<file path=xl/sharedStrings.xml><?xml version="1.0" encoding="utf-8"?>
<sst xmlns="http://schemas.openxmlformats.org/spreadsheetml/2006/main" count="3362" uniqueCount="1703">
  <si>
    <t>Last Name</t>
  </si>
  <si>
    <t>First Name</t>
  </si>
  <si>
    <t>Qty</t>
  </si>
  <si>
    <t>Price</t>
  </si>
  <si>
    <t>Pricing Code Name</t>
  </si>
  <si>
    <t>SeatLocation</t>
  </si>
  <si>
    <t>Performance Date</t>
  </si>
  <si>
    <t>Performance Time</t>
  </si>
  <si>
    <t>Email Address</t>
  </si>
  <si>
    <t>Primary Phone</t>
  </si>
  <si>
    <t>Billing Address 1</t>
  </si>
  <si>
    <t>Billing Address 2</t>
  </si>
  <si>
    <t>Billing City</t>
  </si>
  <si>
    <t>Billing State</t>
  </si>
  <si>
    <t>Billing Zip</t>
  </si>
  <si>
    <t>Abbasi</t>
  </si>
  <si>
    <t>Parvin</t>
  </si>
  <si>
    <t>Regular Price</t>
  </si>
  <si>
    <t>Orchestra / K 14</t>
  </si>
  <si>
    <t>Tuesday, November 7, 2023</t>
  </si>
  <si>
    <t>p.abbasi@ymail.com</t>
  </si>
  <si>
    <t>2729 Tejon St</t>
  </si>
  <si>
    <t>Lodi</t>
  </si>
  <si>
    <t>CA</t>
  </si>
  <si>
    <t>Orchestra / L 12</t>
  </si>
  <si>
    <t>Abbassi</t>
  </si>
  <si>
    <t>Kayvan</t>
  </si>
  <si>
    <t>Complimentary</t>
  </si>
  <si>
    <t>Orchestra /  B 109-110</t>
  </si>
  <si>
    <t>KayvanAbbassi@gmail.com</t>
  </si>
  <si>
    <t>63 Windsor Avenue</t>
  </si>
  <si>
    <t>London</t>
  </si>
  <si>
    <t>Orchestra /  B 111-114</t>
  </si>
  <si>
    <t>Orchestra /  C 1-5</t>
  </si>
  <si>
    <t>Abdolhamidzadeh</t>
  </si>
  <si>
    <t>Bahman</t>
  </si>
  <si>
    <t>Orchestra /  J 113-114</t>
  </si>
  <si>
    <t>bahman_1788@yahoo.com</t>
  </si>
  <si>
    <t>4329 Clarinbridge circle</t>
  </si>
  <si>
    <t>Dublin</t>
  </si>
  <si>
    <t>Abrari</t>
  </si>
  <si>
    <t>Samira</t>
  </si>
  <si>
    <t>Orchestra /  P 105-106</t>
  </si>
  <si>
    <t>Sabrari@gmail.com</t>
  </si>
  <si>
    <t>1332 pebble dr</t>
  </si>
  <si>
    <t xml:space="preserve">San Carlos </t>
  </si>
  <si>
    <t>Aghaeimeibodi</t>
  </si>
  <si>
    <t>Shahriar</t>
  </si>
  <si>
    <t>Dress Circle /  E 1-3</t>
  </si>
  <si>
    <t>am.shahriar@gmail.com</t>
  </si>
  <si>
    <t>340 Fremont St Apt 3003</t>
  </si>
  <si>
    <t>San Francisco</t>
  </si>
  <si>
    <t>Ahdout</t>
  </si>
  <si>
    <t>Jasmine</t>
  </si>
  <si>
    <t>Dress Circle /  F 31-33</t>
  </si>
  <si>
    <t>jahdout18@gmail.com</t>
  </si>
  <si>
    <t>27 San Antonio</t>
  </si>
  <si>
    <t>Newport Beach</t>
  </si>
  <si>
    <t>Ahmad</t>
  </si>
  <si>
    <t>Freshta</t>
  </si>
  <si>
    <t>Orchestra / P 107</t>
  </si>
  <si>
    <t>freshta_ahmad09@yahoo.com</t>
  </si>
  <si>
    <t xml:space="preserve">407 Somerville circle </t>
  </si>
  <si>
    <t>Vacaville</t>
  </si>
  <si>
    <t>Ahmadi</t>
  </si>
  <si>
    <t>Badi</t>
  </si>
  <si>
    <t>Balcony /  H 24-26</t>
  </si>
  <si>
    <t>meinalbany@gmail.com</t>
  </si>
  <si>
    <t>137 Julian Way</t>
  </si>
  <si>
    <t>Pleasant Hill</t>
  </si>
  <si>
    <t>ahmadi pour</t>
  </si>
  <si>
    <t>hamidreza</t>
  </si>
  <si>
    <t>Orchestra /  P 103-104</t>
  </si>
  <si>
    <t>pouyan98@live.com</t>
  </si>
  <si>
    <t>796 arguello blvd</t>
  </si>
  <si>
    <t>san francisco</t>
  </si>
  <si>
    <t>Akbarpour</t>
  </si>
  <si>
    <t>Mehdi</t>
  </si>
  <si>
    <t>Orchestra /  C 109-110</t>
  </si>
  <si>
    <t>mehdi.akbarpour313@gmail.com</t>
  </si>
  <si>
    <t>9708 Palazzo Ct</t>
  </si>
  <si>
    <t>Elk Grove</t>
  </si>
  <si>
    <t>Akhlaghi</t>
  </si>
  <si>
    <t>Shiva</t>
  </si>
  <si>
    <t>Orchestra / J 107</t>
  </si>
  <si>
    <t>Akhlaghi.shiva@gmail.com</t>
  </si>
  <si>
    <t>5961 Ralston Ave</t>
  </si>
  <si>
    <t>Richmond</t>
  </si>
  <si>
    <t>Amil</t>
  </si>
  <si>
    <t>Raf</t>
  </si>
  <si>
    <t>Orchestra /  S 1-3</t>
  </si>
  <si>
    <t>amielraf3@gmail.com</t>
  </si>
  <si>
    <t>8  Lafayette lane</t>
  </si>
  <si>
    <t>Coto de Casa</t>
  </si>
  <si>
    <t>Amini</t>
  </si>
  <si>
    <t>Negar</t>
  </si>
  <si>
    <t>Orchestra /  F 105-106</t>
  </si>
  <si>
    <t>Nikki.Amini.na@gmail.com</t>
  </si>
  <si>
    <t>5435 Eagles ln</t>
  </si>
  <si>
    <t>Apt 2</t>
  </si>
  <si>
    <t>San Jose</t>
  </si>
  <si>
    <t>Aminzadeh</t>
  </si>
  <si>
    <t xml:space="preserve">Behkam </t>
  </si>
  <si>
    <t>Orchestra /  P 1-7</t>
  </si>
  <si>
    <t>Behckam@yahoo.com</t>
  </si>
  <si>
    <t>14640 Fieldstone Drive</t>
  </si>
  <si>
    <t>Saratoga</t>
  </si>
  <si>
    <t>Ansari</t>
  </si>
  <si>
    <t>Mandana</t>
  </si>
  <si>
    <t>Orchestra / M 111</t>
  </si>
  <si>
    <t>mandy@robotsource.com</t>
  </si>
  <si>
    <t>36146 Silverado Pl</t>
  </si>
  <si>
    <t>Newark</t>
  </si>
  <si>
    <t>Anwar</t>
  </si>
  <si>
    <t>Sara</t>
  </si>
  <si>
    <t>Orchestra /  P 6-8</t>
  </si>
  <si>
    <t>saramanwar@gmail.com</t>
  </si>
  <si>
    <t xml:space="preserve">1565 cherry glen way </t>
  </si>
  <si>
    <t>Arbabi</t>
  </si>
  <si>
    <t>Hanieh</t>
  </si>
  <si>
    <t>Balcony /  K 5-9</t>
  </si>
  <si>
    <t>h_arbabi@yahoo.com</t>
  </si>
  <si>
    <t>376 Jasmine Ct</t>
  </si>
  <si>
    <t>walnut creek</t>
  </si>
  <si>
    <t>Balcony /  K 2-6</t>
  </si>
  <si>
    <t>Arian</t>
  </si>
  <si>
    <t>Orchestra /  M 104-110</t>
  </si>
  <si>
    <t>mandy.arian@gmail.com</t>
  </si>
  <si>
    <t>7203 Saint George lane</t>
  </si>
  <si>
    <t>Aryarad</t>
  </si>
  <si>
    <t xml:space="preserve">Adrian </t>
  </si>
  <si>
    <t>Orchestra / G 110</t>
  </si>
  <si>
    <t>ashkbuuus@gmail.com</t>
  </si>
  <si>
    <t>3968 Salt Point way</t>
  </si>
  <si>
    <t xml:space="preserve">Rancho Cordova </t>
  </si>
  <si>
    <t>Asefi</t>
  </si>
  <si>
    <t>Mahdi</t>
  </si>
  <si>
    <t>Balcony /  K 29-31</t>
  </si>
  <si>
    <t>mehdiasefi@gmail.com</t>
  </si>
  <si>
    <t>2137 Beach St</t>
  </si>
  <si>
    <t>Concord</t>
  </si>
  <si>
    <t>Attarzadeh</t>
  </si>
  <si>
    <t>Farinaz</t>
  </si>
  <si>
    <t>Orchestra /  F 2-6</t>
  </si>
  <si>
    <t>fattarza@yahoo.com</t>
  </si>
  <si>
    <t>28060 Story Hill Lane</t>
  </si>
  <si>
    <t>Los Altos Hills</t>
  </si>
  <si>
    <t>Azami</t>
  </si>
  <si>
    <t>Anoush</t>
  </si>
  <si>
    <t>Dress Circle /  G 18-22</t>
  </si>
  <si>
    <t>anoush.azami@gmail.com</t>
  </si>
  <si>
    <t>201 Via La Paz</t>
  </si>
  <si>
    <t>GREENBRAE</t>
  </si>
  <si>
    <t>Azarbakht</t>
  </si>
  <si>
    <t>Emerson</t>
  </si>
  <si>
    <t>Dress Circle /  G 9-15</t>
  </si>
  <si>
    <t>3472760+cityboxoffice@gmail.com</t>
  </si>
  <si>
    <t>2655 Bush St</t>
  </si>
  <si>
    <t>Apt 112</t>
  </si>
  <si>
    <t>Azarm</t>
  </si>
  <si>
    <t>Houman</t>
  </si>
  <si>
    <t>Orchestra /  L 113-114</t>
  </si>
  <si>
    <t>HOUMAN.AZARM@GMAIL.COM</t>
  </si>
  <si>
    <t>1 Hawthorne St</t>
  </si>
  <si>
    <t>Unit 9D</t>
  </si>
  <si>
    <t>Azimi</t>
  </si>
  <si>
    <t>Anna</t>
  </si>
  <si>
    <t>Orchestra /  L 2-4</t>
  </si>
  <si>
    <t>Oriona83@yandex.ru</t>
  </si>
  <si>
    <t xml:space="preserve">26770 Durham way </t>
  </si>
  <si>
    <t>Hayward</t>
  </si>
  <si>
    <t>Baaba</t>
  </si>
  <si>
    <t>Diana</t>
  </si>
  <si>
    <t>Balcony /  N 24-28</t>
  </si>
  <si>
    <t>dibaaba@gmail.com</t>
  </si>
  <si>
    <t xml:space="preserve">1812 Cole Avenue </t>
  </si>
  <si>
    <t>No 2</t>
  </si>
  <si>
    <t xml:space="preserve">Walnut Creek </t>
  </si>
  <si>
    <t>Bahar</t>
  </si>
  <si>
    <t>Ray</t>
  </si>
  <si>
    <t>Boxes Right / V 4</t>
  </si>
  <si>
    <t>Ray.bahar@gmail.com</t>
  </si>
  <si>
    <t>PO Box 3118</t>
  </si>
  <si>
    <t>Los Altos</t>
  </si>
  <si>
    <t>Boxes Right / V 3</t>
  </si>
  <si>
    <t>Boxes Right / V 2</t>
  </si>
  <si>
    <t>Boxes Right / V 1</t>
  </si>
  <si>
    <t>Bahraini</t>
  </si>
  <si>
    <t>Kaynaz</t>
  </si>
  <si>
    <t>Balcony /  K 22-24</t>
  </si>
  <si>
    <t>kaynazbahraini@yahoo.com</t>
  </si>
  <si>
    <t>610 hyde st apt 304</t>
  </si>
  <si>
    <t>SF</t>
  </si>
  <si>
    <t>Bahri</t>
  </si>
  <si>
    <t>Dara</t>
  </si>
  <si>
    <t>Orchestra / U 101</t>
  </si>
  <si>
    <t>dbahri123@gmail.com</t>
  </si>
  <si>
    <t>844 Broadmoor Court</t>
  </si>
  <si>
    <t>Lafayette</t>
  </si>
  <si>
    <t>Bakhtiari</t>
  </si>
  <si>
    <t>Hossein</t>
  </si>
  <si>
    <t>Orchestra /  C 7-9</t>
  </si>
  <si>
    <t>Hoss@City-Carpets.com</t>
  </si>
  <si>
    <t>(415) 218-3556</t>
  </si>
  <si>
    <t>N/A</t>
  </si>
  <si>
    <t>banagar</t>
  </si>
  <si>
    <t>parnia</t>
  </si>
  <si>
    <t>Balcony /  K 11-13</t>
  </si>
  <si>
    <t>parniab@live.com</t>
  </si>
  <si>
    <t>100 crownpointe dr</t>
  </si>
  <si>
    <t>vallejo</t>
  </si>
  <si>
    <t>Baradaran</t>
  </si>
  <si>
    <t>Parnya</t>
  </si>
  <si>
    <t>Balcony /  L 3-9</t>
  </si>
  <si>
    <t>parnya.baradaran@gmail.com</t>
  </si>
  <si>
    <t>91 Milland Dr</t>
  </si>
  <si>
    <t>Mill Valley</t>
  </si>
  <si>
    <t>barimani</t>
  </si>
  <si>
    <t>sam</t>
  </si>
  <si>
    <t>Balcony /  M 2-4</t>
  </si>
  <si>
    <t>sbarimani@gmail.com</t>
  </si>
  <si>
    <t>917 San Anselmo Ave</t>
  </si>
  <si>
    <t>unit 4</t>
  </si>
  <si>
    <t>San anselmo</t>
  </si>
  <si>
    <t>Beheshti</t>
  </si>
  <si>
    <t>Mohammad</t>
  </si>
  <si>
    <t>Balcony / N 16</t>
  </si>
  <si>
    <t>mhbehesht@gmail.com</t>
  </si>
  <si>
    <t>388 Beale St</t>
  </si>
  <si>
    <t>Apt 403</t>
  </si>
  <si>
    <t>behzad</t>
  </si>
  <si>
    <t>saied</t>
  </si>
  <si>
    <t>Orchestra /  K 2-4</t>
  </si>
  <si>
    <t>saiedbehzad@yahoo.com</t>
  </si>
  <si>
    <t>4  carnelian way</t>
  </si>
  <si>
    <t>berjis</t>
  </si>
  <si>
    <t>vala</t>
  </si>
  <si>
    <t>Orchestra /  E 5-13</t>
  </si>
  <si>
    <t>valaberjis@gmail.com</t>
  </si>
  <si>
    <t>12 mapleglen court</t>
  </si>
  <si>
    <t>danville</t>
  </si>
  <si>
    <t xml:space="preserve">Berloui </t>
  </si>
  <si>
    <t xml:space="preserve">Mahreez </t>
  </si>
  <si>
    <t>Orchestra /  J 111-112</t>
  </si>
  <si>
    <t>mahreez@yahoo.com</t>
  </si>
  <si>
    <t>294 Moraga Way</t>
  </si>
  <si>
    <t xml:space="preserve">Orinda </t>
  </si>
  <si>
    <t>Bitbadal</t>
  </si>
  <si>
    <t>Edesa</t>
  </si>
  <si>
    <t>Orchestra /  M 1-3</t>
  </si>
  <si>
    <t>edesab@yahoo.com</t>
  </si>
  <si>
    <t>1206 Rockhaven Dr</t>
  </si>
  <si>
    <t>Bobrova</t>
  </si>
  <si>
    <t>Alena</t>
  </si>
  <si>
    <t>Orchestra /  U 108-109</t>
  </si>
  <si>
    <t>a.oikumena@gmail.com</t>
  </si>
  <si>
    <t>8 LAFAYETTE LN</t>
  </si>
  <si>
    <t>COTO DE CAZA</t>
  </si>
  <si>
    <t>Balcony /  N 21-23</t>
  </si>
  <si>
    <t>Bolghand</t>
  </si>
  <si>
    <t>Nahid</t>
  </si>
  <si>
    <t>Dress Circle /  E 2-4</t>
  </si>
  <si>
    <t>nahidbolghand@yahoo.com</t>
  </si>
  <si>
    <t>Po box 117464</t>
  </si>
  <si>
    <t>Burlingame</t>
  </si>
  <si>
    <t>bostandoost nik</t>
  </si>
  <si>
    <t>seyed mehdi</t>
  </si>
  <si>
    <t>Dress Circle / B 31</t>
  </si>
  <si>
    <t>mbostandoust@yahoo.com</t>
  </si>
  <si>
    <t>1352 kingfisher way, apt 2</t>
  </si>
  <si>
    <t>Sunnyvale</t>
  </si>
  <si>
    <t>Boullet</t>
  </si>
  <si>
    <t>Nicolas</t>
  </si>
  <si>
    <t>Dress Circle /  C 14-16</t>
  </si>
  <si>
    <t>nicolasboullet@gmail.com</t>
  </si>
  <si>
    <t>265 Union Street</t>
  </si>
  <si>
    <t>1A</t>
  </si>
  <si>
    <t>Brooks</t>
  </si>
  <si>
    <t>Seth</t>
  </si>
  <si>
    <t>Orchestra /  J 7-11</t>
  </si>
  <si>
    <t>sb.sethbrooks@gmail.com</t>
  </si>
  <si>
    <t>415-505-7535</t>
  </si>
  <si>
    <t>8 Lafayette lane,</t>
  </si>
  <si>
    <t>Coto de Caza</t>
  </si>
  <si>
    <t>Carastan</t>
  </si>
  <si>
    <t>Mehrnaz</t>
  </si>
  <si>
    <t>Orchestra / N 5</t>
  </si>
  <si>
    <t>mehrnaz1970@gmail.com</t>
  </si>
  <si>
    <t>359 Via Primavera Dr</t>
  </si>
  <si>
    <t>Orchestra /  N 112-113</t>
  </si>
  <si>
    <t>Carlsson</t>
  </si>
  <si>
    <t>Orchestra /  A 108-113</t>
  </si>
  <si>
    <t>sara@carlsson.family</t>
  </si>
  <si>
    <t>7336 Hansen Drive</t>
  </si>
  <si>
    <t>Cazi</t>
  </si>
  <si>
    <t>Balcony /  J 1-7</t>
  </si>
  <si>
    <t>mohammadcazi@gmail.com</t>
  </si>
  <si>
    <t>536 Rolling Hills Ln</t>
  </si>
  <si>
    <t>Danville</t>
  </si>
  <si>
    <t xml:space="preserve">Chaharsough </t>
  </si>
  <si>
    <t xml:space="preserve">Atousa </t>
  </si>
  <si>
    <t>Orchestra / T 1</t>
  </si>
  <si>
    <t>at_shirazi@yahoo.com</t>
  </si>
  <si>
    <t>680 Mission St</t>
  </si>
  <si>
    <t>Apt 14B</t>
  </si>
  <si>
    <t xml:space="preserve">San Francisco </t>
  </si>
  <si>
    <t>Chang</t>
  </si>
  <si>
    <t>Vanessa</t>
  </si>
  <si>
    <t>Balcony /  M 21-29</t>
  </si>
  <si>
    <t>changvanessa97@gmail.com</t>
  </si>
  <si>
    <t>8 Lafayette Ln</t>
  </si>
  <si>
    <t>Chehrazi</t>
  </si>
  <si>
    <t>Sarang</t>
  </si>
  <si>
    <t>Orchestra /  P 2-4</t>
  </si>
  <si>
    <t>Schehrazi123@gmail.com</t>
  </si>
  <si>
    <t>68 Richardson Ave</t>
  </si>
  <si>
    <t>Chen</t>
  </si>
  <si>
    <t>Virginia</t>
  </si>
  <si>
    <t>Orchestra /  G 9-11</t>
  </si>
  <si>
    <t>ginleechen999@gmail.com</t>
  </si>
  <si>
    <t>601 Van Ness # 1025</t>
  </si>
  <si>
    <t>Chokhachian</t>
  </si>
  <si>
    <t>Sepideh</t>
  </si>
  <si>
    <t>Orchestra /  K 107-108</t>
  </si>
  <si>
    <t>ch.sepid@gmail.com</t>
  </si>
  <si>
    <t>3050 Del Hombre Ln</t>
  </si>
  <si>
    <t>Apt 402</t>
  </si>
  <si>
    <t>Walnut Creek</t>
  </si>
  <si>
    <t>COOK</t>
  </si>
  <si>
    <t>Jeffrey</t>
  </si>
  <si>
    <t>Orchestra /  R 110-111</t>
  </si>
  <si>
    <t>JEFFREY.COOK408@GMAIL.COM</t>
  </si>
  <si>
    <t>590 MONICA LANE</t>
  </si>
  <si>
    <t>CAMPBELL</t>
  </si>
  <si>
    <t>Cooper</t>
  </si>
  <si>
    <t>John</t>
  </si>
  <si>
    <t>Balcony /  M 9-13</t>
  </si>
  <si>
    <t>j.landrumcooper@gmail.com</t>
  </si>
  <si>
    <t>8 Lafayette lane</t>
  </si>
  <si>
    <t>Costa</t>
  </si>
  <si>
    <t>Candice</t>
  </si>
  <si>
    <t>Balcony /  K 26-30</t>
  </si>
  <si>
    <t>Candicesaadian@gmail.com</t>
  </si>
  <si>
    <t xml:space="preserve">208 Clarendon road </t>
  </si>
  <si>
    <t xml:space="preserve">Burlingame </t>
  </si>
  <si>
    <t xml:space="preserve">Dadafarin </t>
  </si>
  <si>
    <t>Allen A</t>
  </si>
  <si>
    <t>Orchestra /  G 111-114</t>
  </si>
  <si>
    <t>ghassemifaran@yahoo.com</t>
  </si>
  <si>
    <t>8 paintbrush Ln</t>
  </si>
  <si>
    <t>Orinda</t>
  </si>
  <si>
    <t>Dadgar</t>
  </si>
  <si>
    <t>Shayan</t>
  </si>
  <si>
    <t>Dress Circle /  F 14-24</t>
  </si>
  <si>
    <t>Dimn919@gmail.com</t>
  </si>
  <si>
    <t>26111 Roymor Dr</t>
  </si>
  <si>
    <t>Calabasas</t>
  </si>
  <si>
    <t xml:space="preserve">Dashti </t>
  </si>
  <si>
    <t xml:space="preserve">Elham </t>
  </si>
  <si>
    <t>Balcony / K 20</t>
  </si>
  <si>
    <t>elhamdashti@icloud.com</t>
  </si>
  <si>
    <t>319 WildCrfot Dr</t>
  </si>
  <si>
    <t>martinez</t>
  </si>
  <si>
    <t>Davoudzadeh</t>
  </si>
  <si>
    <t>Anoosh</t>
  </si>
  <si>
    <t>Orchestra /  R 101-102</t>
  </si>
  <si>
    <t>anoosh23@yahoo.com</t>
  </si>
  <si>
    <t xml:space="preserve">8366 Moller ranch Dr </t>
  </si>
  <si>
    <t>Pleasanton</t>
  </si>
  <si>
    <t>Deldar</t>
  </si>
  <si>
    <t>Kayvon</t>
  </si>
  <si>
    <t>Dress Circle / E 22</t>
  </si>
  <si>
    <t>kdeldar@gmail.com</t>
  </si>
  <si>
    <t>100 Rassai Court</t>
  </si>
  <si>
    <t>Derangi</t>
  </si>
  <si>
    <t>Kathy</t>
  </si>
  <si>
    <t>Orchestra /  F 11-13</t>
  </si>
  <si>
    <t>kderangi@guaranteemortgage.com</t>
  </si>
  <si>
    <t xml:space="preserve">1301 Fulton street </t>
  </si>
  <si>
    <t>Unit 302</t>
  </si>
  <si>
    <t>Dianati</t>
  </si>
  <si>
    <t>Souzan</t>
  </si>
  <si>
    <t>Orchestra /  V 102-103</t>
  </si>
  <si>
    <t>Dianatisouzan@gmail.com</t>
  </si>
  <si>
    <t>825 E Evelyn Ave</t>
  </si>
  <si>
    <t>Apt 643</t>
  </si>
  <si>
    <t xml:space="preserve">Sunnyvale </t>
  </si>
  <si>
    <t>Orchestra / V 101</t>
  </si>
  <si>
    <t>825 East Evelyn Avenue</t>
  </si>
  <si>
    <t>Drury</t>
  </si>
  <si>
    <t>Shabnam</t>
  </si>
  <si>
    <t>Orchestra / C 111</t>
  </si>
  <si>
    <t>shabnam.ezazi@gmail.com</t>
  </si>
  <si>
    <t>1340 Sugarloaf Drive</t>
  </si>
  <si>
    <t>Alamo</t>
  </si>
  <si>
    <t>ebrahimiyan</t>
  </si>
  <si>
    <t>pedram</t>
  </si>
  <si>
    <t>Dress Circle /  A 20-26</t>
  </si>
  <si>
    <t>pedramebrahimian123@gmail.com</t>
  </si>
  <si>
    <t>1451 Rocky Ridge Dr</t>
  </si>
  <si>
    <t>Roseville</t>
  </si>
  <si>
    <t>Eghtesad</t>
  </si>
  <si>
    <t>Nader</t>
  </si>
  <si>
    <t>Orchestra /  H 2-8</t>
  </si>
  <si>
    <t>GolnazElectric@yahoo.com</t>
  </si>
  <si>
    <t>PO BOX 1720</t>
  </si>
  <si>
    <t>El ratel</t>
  </si>
  <si>
    <t>Rania</t>
  </si>
  <si>
    <t>Dress Circle /  D 14-18</t>
  </si>
  <si>
    <t>raniaratel@icloud.com</t>
  </si>
  <si>
    <t>7780 squirrel creek circle</t>
  </si>
  <si>
    <t xml:space="preserve">Eliason-Carey </t>
  </si>
  <si>
    <t xml:space="preserve">Zahra </t>
  </si>
  <si>
    <t>Orchestra /  K 111-112</t>
  </si>
  <si>
    <t>Zahraeliasoncarey@outlook.com</t>
  </si>
  <si>
    <t>684 48th ave apt 203</t>
  </si>
  <si>
    <t xml:space="preserve">San francisco </t>
  </si>
  <si>
    <t>Elie</t>
  </si>
  <si>
    <t>Merhdad</t>
  </si>
  <si>
    <t>Orchestra /  B 101-102</t>
  </si>
  <si>
    <t>elie@eliecorp.com</t>
  </si>
  <si>
    <t>555-5555</t>
  </si>
  <si>
    <t>Orchestra /  D 101-104</t>
  </si>
  <si>
    <t>Orchestra /  E 101-104</t>
  </si>
  <si>
    <t>Orchestra /  A 105-106</t>
  </si>
  <si>
    <t>Orchestra / D 105</t>
  </si>
  <si>
    <t>Orchestra /  E 2-4</t>
  </si>
  <si>
    <t>eslami</t>
  </si>
  <si>
    <t>gohar</t>
  </si>
  <si>
    <t>Boxes Left / G 2</t>
  </si>
  <si>
    <t>dr.gohar.eslami@gmail.com</t>
  </si>
  <si>
    <t>1 vista Montana, apt 5413</t>
  </si>
  <si>
    <t xml:space="preserve">Espinoza </t>
  </si>
  <si>
    <t>Aldo</t>
  </si>
  <si>
    <t>Orchestra / L 5</t>
  </si>
  <si>
    <t>Aldopainting@icloud.com</t>
  </si>
  <si>
    <t xml:space="preserve">4933 Thunderhead Ct </t>
  </si>
  <si>
    <t xml:space="preserve">El Sobrante </t>
  </si>
  <si>
    <t>Orchestra / L 6</t>
  </si>
  <si>
    <t>Dress Circle /  F 35-37</t>
  </si>
  <si>
    <t>Evans</t>
  </si>
  <si>
    <t>Jessica</t>
  </si>
  <si>
    <t>Orchestra /  M 5-7</t>
  </si>
  <si>
    <t>007evansjessica@gmail.com</t>
  </si>
  <si>
    <t>6844 Bardstown Rd - Unit #2065</t>
  </si>
  <si>
    <t>Louisville</t>
  </si>
  <si>
    <t>KY</t>
  </si>
  <si>
    <t>Ezazi</t>
  </si>
  <si>
    <t xml:space="preserve">Mehrnaz </t>
  </si>
  <si>
    <t>Orchestra /  C 112-114</t>
  </si>
  <si>
    <t>1311 Laverock Lane</t>
  </si>
  <si>
    <t>Fadaie</t>
  </si>
  <si>
    <t>Farid</t>
  </si>
  <si>
    <t>Orchestra /  J 105-106</t>
  </si>
  <si>
    <t>farid.fadaie@gmail.com</t>
  </si>
  <si>
    <t>690 Market St</t>
  </si>
  <si>
    <t>Fakhari</t>
  </si>
  <si>
    <t>Morvarid</t>
  </si>
  <si>
    <t>Balcony /  M 1-5</t>
  </si>
  <si>
    <t>morvaridfa91@gmail.com</t>
  </si>
  <si>
    <t>919 S Winchester Blvd</t>
  </si>
  <si>
    <t>Apt 451</t>
  </si>
  <si>
    <t>Farahmand</t>
  </si>
  <si>
    <t>Farnoud</t>
  </si>
  <si>
    <t>Balcony /  M 6-14</t>
  </si>
  <si>
    <t>farnoud.farahmand@gmail.com</t>
  </si>
  <si>
    <t>235 Berry St</t>
  </si>
  <si>
    <t>Apt 411</t>
  </si>
  <si>
    <t>Farsa</t>
  </si>
  <si>
    <t>Parisa</t>
  </si>
  <si>
    <t>Orchestra /  U 1-9</t>
  </si>
  <si>
    <t>Parisa.farsa@walmart.com</t>
  </si>
  <si>
    <t xml:space="preserve">1022 sky jasmine way </t>
  </si>
  <si>
    <t xml:space="preserve">San Ramon </t>
  </si>
  <si>
    <t>Farsio</t>
  </si>
  <si>
    <t>Amir</t>
  </si>
  <si>
    <t>Boxes Right / O 4</t>
  </si>
  <si>
    <t>amir@farsio.com</t>
  </si>
  <si>
    <t>18485 ALLENDALE AVE.</t>
  </si>
  <si>
    <t>SARATOGA</t>
  </si>
  <si>
    <t>Boxes Right / O 3</t>
  </si>
  <si>
    <t>Boxes Right / P 3</t>
  </si>
  <si>
    <t>Boxes Right / O 2</t>
  </si>
  <si>
    <t>Boxes Right / P 2</t>
  </si>
  <si>
    <t>Boxes Right / O 1</t>
  </si>
  <si>
    <t>Boxes Right / R 3</t>
  </si>
  <si>
    <t>Boxes Right / R 2</t>
  </si>
  <si>
    <t>Boxes Right / P 1</t>
  </si>
  <si>
    <t>Farzaneh</t>
  </si>
  <si>
    <t>Cameron</t>
  </si>
  <si>
    <t>Orchestra /  T 8-10</t>
  </si>
  <si>
    <t>cfarzaneh@icloud.com</t>
  </si>
  <si>
    <t>6310 W Maclaurin Dr</t>
  </si>
  <si>
    <t>Tampa</t>
  </si>
  <si>
    <t>FL</t>
  </si>
  <si>
    <t>Fattah Habibi</t>
  </si>
  <si>
    <t>Majid</t>
  </si>
  <si>
    <t>Balcony /  N 5-9</t>
  </si>
  <si>
    <t>majid.fattah@gmail.com</t>
  </si>
  <si>
    <t>5018 Raven Way</t>
  </si>
  <si>
    <t>Clayton</t>
  </si>
  <si>
    <t>fiatarone</t>
  </si>
  <si>
    <t>james</t>
  </si>
  <si>
    <t>Orchestra /  N 6-10</t>
  </si>
  <si>
    <t>jamesfiat@almaleap.com</t>
  </si>
  <si>
    <t>105 canon dr</t>
  </si>
  <si>
    <t>orinda</t>
  </si>
  <si>
    <t xml:space="preserve">Garakani </t>
  </si>
  <si>
    <t>Mahsa</t>
  </si>
  <si>
    <t>Orchestra /  N 1-3</t>
  </si>
  <si>
    <t>Mahsa.garakani@gmail.com</t>
  </si>
  <si>
    <t>307 3rd st</t>
  </si>
  <si>
    <t xml:space="preserve">San Rafael </t>
  </si>
  <si>
    <t>Garousi</t>
  </si>
  <si>
    <t>Golara</t>
  </si>
  <si>
    <t>Boxes Left / D 2</t>
  </si>
  <si>
    <t>Golara.garousi@gmail.com</t>
  </si>
  <si>
    <t>10 spiros way</t>
  </si>
  <si>
    <t>Menlo park</t>
  </si>
  <si>
    <t>Boxes Left / D 3</t>
  </si>
  <si>
    <t>Ghaemian</t>
  </si>
  <si>
    <t>Shadan</t>
  </si>
  <si>
    <t>Boxes Left / C 3</t>
  </si>
  <si>
    <t>shadan303@gmail.com</t>
  </si>
  <si>
    <t>6521 Pajaro Way</t>
  </si>
  <si>
    <t>Boxes Left / C 2</t>
  </si>
  <si>
    <t>Ghafarimiab</t>
  </si>
  <si>
    <t>Anahita</t>
  </si>
  <si>
    <t>Balcony /  L 2-4</t>
  </si>
  <si>
    <t>Anahita.ghafari@gmail.com</t>
  </si>
  <si>
    <t>2 admiral Dr</t>
  </si>
  <si>
    <t>Unit 286</t>
  </si>
  <si>
    <t xml:space="preserve">Emeryville </t>
  </si>
  <si>
    <t>Ghajar</t>
  </si>
  <si>
    <t>Shideh</t>
  </si>
  <si>
    <t>Dress Circle /  C 22-26</t>
  </si>
  <si>
    <t>sghajar@gmail.com</t>
  </si>
  <si>
    <t>650-503-3579</t>
  </si>
  <si>
    <t>1112 Rockledge Lane</t>
  </si>
  <si>
    <t>Ghamari</t>
  </si>
  <si>
    <t>Niloofar</t>
  </si>
  <si>
    <t>Orchestra /  K 105-106</t>
  </si>
  <si>
    <t>niloofar.ghamari611@gmail.com</t>
  </si>
  <si>
    <t>480 Turquoise DR</t>
  </si>
  <si>
    <t>Hercules</t>
  </si>
  <si>
    <t>Ghazanfari</t>
  </si>
  <si>
    <t>Faezeh</t>
  </si>
  <si>
    <t>Balcony /  M 20-26</t>
  </si>
  <si>
    <t>pkarbassi@outlook.com</t>
  </si>
  <si>
    <t>2840 bowling green dr</t>
  </si>
  <si>
    <t xml:space="preserve">Ghazzagh </t>
  </si>
  <si>
    <t xml:space="preserve">Khashayar </t>
  </si>
  <si>
    <t>Balcony /  H 2-4</t>
  </si>
  <si>
    <t>kashy.rides@gmail.com</t>
  </si>
  <si>
    <t>2480 Parkcreek Dr</t>
  </si>
  <si>
    <t>Santa Rosa</t>
  </si>
  <si>
    <t>Ghazzagh</t>
  </si>
  <si>
    <t>Kashy</t>
  </si>
  <si>
    <t>Orchestra /  H 101-102</t>
  </si>
  <si>
    <t>Gholami</t>
  </si>
  <si>
    <t>Dress Circle /  C 5-7</t>
  </si>
  <si>
    <t>g.afshin@gmail.com</t>
  </si>
  <si>
    <t>14 Constance Dr</t>
  </si>
  <si>
    <t>San Rafael</t>
  </si>
  <si>
    <t>Gholizadeh</t>
  </si>
  <si>
    <t>Shervin</t>
  </si>
  <si>
    <t>Dress Circle /  E 17-21</t>
  </si>
  <si>
    <t>gholizadeh@gmail.com</t>
  </si>
  <si>
    <t>5445 Carlton St</t>
  </si>
  <si>
    <t>Oakland</t>
  </si>
  <si>
    <t>Glenn</t>
  </si>
  <si>
    <t>Erik</t>
  </si>
  <si>
    <t>Balcony /  N 25-29</t>
  </si>
  <si>
    <t>glennerik441@gmail.com</t>
  </si>
  <si>
    <t>135 E Olive Ave</t>
  </si>
  <si>
    <t>Burbank</t>
  </si>
  <si>
    <t>Golestanian</t>
  </si>
  <si>
    <t>Orchestra /  M 6-8</t>
  </si>
  <si>
    <t>mehdi.golestanian@gmail.com</t>
  </si>
  <si>
    <t xml:space="preserve">1748 shady creek court </t>
  </si>
  <si>
    <t>San jose</t>
  </si>
  <si>
    <t>Golkar</t>
  </si>
  <si>
    <t>Masoud</t>
  </si>
  <si>
    <t>Orchestra / A 107</t>
  </si>
  <si>
    <t>mathewgolkar@gmail.com</t>
  </si>
  <si>
    <t xml:space="preserve">5300 terner way </t>
  </si>
  <si>
    <t>Golshaian</t>
  </si>
  <si>
    <t xml:space="preserve">Gilda </t>
  </si>
  <si>
    <t>Orchestra /  M 2-4</t>
  </si>
  <si>
    <t>Gilda.golshaian@gmail.com</t>
  </si>
  <si>
    <t>6350 Contra Costa Rd</t>
  </si>
  <si>
    <t xml:space="preserve">Oakland </t>
  </si>
  <si>
    <t>Green</t>
  </si>
  <si>
    <t>Kevin</t>
  </si>
  <si>
    <t>Dress Circle /  G 19-25</t>
  </si>
  <si>
    <t>kevingreen7@yahoo.com</t>
  </si>
  <si>
    <t>Balcony /  N 8-10</t>
  </si>
  <si>
    <t>Greenie</t>
  </si>
  <si>
    <t>Duron</t>
  </si>
  <si>
    <t>Dress Circle /  D 5-7</t>
  </si>
  <si>
    <t>EMERGENCYBISCUITS@GMAIL.COM</t>
  </si>
  <si>
    <t>12530 Hesby street</t>
  </si>
  <si>
    <t>Valley Village</t>
  </si>
  <si>
    <t>Guity</t>
  </si>
  <si>
    <t>Ardavan</t>
  </si>
  <si>
    <t>Orchestra / C 8</t>
  </si>
  <si>
    <t>Ardavan.guity@gmail.com</t>
  </si>
  <si>
    <t>22335 Foothill Blvd</t>
  </si>
  <si>
    <t>Apt 5020</t>
  </si>
  <si>
    <t>Balcony / K 25</t>
  </si>
  <si>
    <t>Haddadan</t>
  </si>
  <si>
    <t>Mona</t>
  </si>
  <si>
    <t>Balcony /  K 8-10</t>
  </si>
  <si>
    <t>Mona.hadadan@gmail.com</t>
  </si>
  <si>
    <t>1355 Creekside Dr</t>
  </si>
  <si>
    <t>Haghighi</t>
  </si>
  <si>
    <t xml:space="preserve">Shahram </t>
  </si>
  <si>
    <t>Balcony /  H 9-13</t>
  </si>
  <si>
    <t>Shawnhhaghighi@gmail.com</t>
  </si>
  <si>
    <t>835 Winton Dr</t>
  </si>
  <si>
    <t>Petaluma</t>
  </si>
  <si>
    <t>Hakimi</t>
  </si>
  <si>
    <t>Sahel</t>
  </si>
  <si>
    <t>Orchestra /  M 12-14</t>
  </si>
  <si>
    <t>sah.el1@outlook.com</t>
  </si>
  <si>
    <t>353 Berkeley Park BLVD APT B</t>
  </si>
  <si>
    <t>Kensington</t>
  </si>
  <si>
    <t>Hamami</t>
  </si>
  <si>
    <t xml:space="preserve">Firas </t>
  </si>
  <si>
    <t>Orchestra /  B 103-108</t>
  </si>
  <si>
    <t>pauline.1108@yahoo.com</t>
  </si>
  <si>
    <t>175 S Spruce Ave</t>
  </si>
  <si>
    <t>South San Francisco</t>
  </si>
  <si>
    <t>Hamidi</t>
  </si>
  <si>
    <t>Mehran</t>
  </si>
  <si>
    <t>Orchestra /  L 7-11</t>
  </si>
  <si>
    <t>mhamidi@protectedwellness.com</t>
  </si>
  <si>
    <t>5965 Village Way</t>
  </si>
  <si>
    <t>Suite e105-195</t>
  </si>
  <si>
    <t>San Diego</t>
  </si>
  <si>
    <t>Harivandi</t>
  </si>
  <si>
    <t>Ali</t>
  </si>
  <si>
    <t>Orchestra /  K 6-12</t>
  </si>
  <si>
    <t>harivand@aol.com</t>
  </si>
  <si>
    <t>5027 Proctor Ave.</t>
  </si>
  <si>
    <t>Hashemian</t>
  </si>
  <si>
    <t>Dress Circle /  D 9-25</t>
  </si>
  <si>
    <t>Hashemianmajidg@gmail.com</t>
  </si>
  <si>
    <t>1943 everidge ct</t>
  </si>
  <si>
    <t>Walnut creek</t>
  </si>
  <si>
    <t>hazemi</t>
  </si>
  <si>
    <t>alysha</t>
  </si>
  <si>
    <t>Orchestra /  J 1-5</t>
  </si>
  <si>
    <t>arduchin@gmail.com</t>
  </si>
  <si>
    <t>7200 greenly dr</t>
  </si>
  <si>
    <t>oakland</t>
  </si>
  <si>
    <t>Hemati</t>
  </si>
  <si>
    <t>Ariya</t>
  </si>
  <si>
    <t>Dress Circle /  A 17-25</t>
  </si>
  <si>
    <t>hhemati@gmail.com</t>
  </si>
  <si>
    <t>1000 Chestnut</t>
  </si>
  <si>
    <t>Apt. 10C</t>
  </si>
  <si>
    <t>HEMINGWAY</t>
  </si>
  <si>
    <t>FAREDAY</t>
  </si>
  <si>
    <t>Orchestra /  G 101-102</t>
  </si>
  <si>
    <t>FAREDAYHEMINGWAY@GMAIL.COM</t>
  </si>
  <si>
    <t>111 Chestnut St.</t>
  </si>
  <si>
    <t>Unit 705</t>
  </si>
  <si>
    <t>Hemmatyar</t>
  </si>
  <si>
    <t>Omid</t>
  </si>
  <si>
    <t>Orchestra /  T 101-104</t>
  </si>
  <si>
    <t>omidhemmatyar@gmail.com</t>
  </si>
  <si>
    <t>736 Escondido Road</t>
  </si>
  <si>
    <t>Stanford</t>
  </si>
  <si>
    <t>hennin</t>
  </si>
  <si>
    <t>george</t>
  </si>
  <si>
    <t>Dress Circle /  F 5-11</t>
  </si>
  <si>
    <t>covidpronebobby@gmail.com</t>
  </si>
  <si>
    <t>12530 hesby street</t>
  </si>
  <si>
    <t>valley village</t>
  </si>
  <si>
    <t>Dress Circle /  B 14-16</t>
  </si>
  <si>
    <t>musicalfruitbenny@gmail.com</t>
  </si>
  <si>
    <t>Hooshyar</t>
  </si>
  <si>
    <t>Reyhaneh</t>
  </si>
  <si>
    <t>Balcony / K 27</t>
  </si>
  <si>
    <t>Reyhaneh.houshyar@gmail.com</t>
  </si>
  <si>
    <t>1900 garden drive</t>
  </si>
  <si>
    <t>Hubble</t>
  </si>
  <si>
    <t>Harry</t>
  </si>
  <si>
    <t>Orchestra /  C 2-6</t>
  </si>
  <si>
    <t>harry@pally.com</t>
  </si>
  <si>
    <t>?</t>
  </si>
  <si>
    <t>Hutton</t>
  </si>
  <si>
    <t>David</t>
  </si>
  <si>
    <t>Boxes Right / S 2</t>
  </si>
  <si>
    <t>mrdavidhutton@gmail.com</t>
  </si>
  <si>
    <t>Boxes Right / S 1</t>
  </si>
  <si>
    <t>Boxes Right / S 3</t>
  </si>
  <si>
    <t xml:space="preserve">Jalali </t>
  </si>
  <si>
    <t xml:space="preserve">Banafsheh </t>
  </si>
  <si>
    <t>Orchestra / AA 103</t>
  </si>
  <si>
    <t>Banafsheh.Jalali@gmail.com</t>
  </si>
  <si>
    <t>2765 Gough st</t>
  </si>
  <si>
    <t>Apt 1</t>
  </si>
  <si>
    <t>Jamasbi</t>
  </si>
  <si>
    <t>Mazda</t>
  </si>
  <si>
    <t>Dress Circle /  G 1-3</t>
  </si>
  <si>
    <t>Mazjam2@gmail.com</t>
  </si>
  <si>
    <t>2505 Hastings Shore Ln.</t>
  </si>
  <si>
    <t>Redwood City</t>
  </si>
  <si>
    <t>Javanbakht</t>
  </si>
  <si>
    <t>Tina</t>
  </si>
  <si>
    <t>Boxes Right / T 3</t>
  </si>
  <si>
    <t>tinajavan@gmail.com</t>
  </si>
  <si>
    <t xml:space="preserve">1320 Manitou road </t>
  </si>
  <si>
    <t xml:space="preserve">Santa Barbara </t>
  </si>
  <si>
    <t>Boxes Right / T 2</t>
  </si>
  <si>
    <t>Jedari</t>
  </si>
  <si>
    <t>Nima</t>
  </si>
  <si>
    <t>Balcony /  K 21-23</t>
  </si>
  <si>
    <t>Nima_jedari@yahoo.com</t>
  </si>
  <si>
    <t xml:space="preserve">634 Gagnon Circle </t>
  </si>
  <si>
    <t xml:space="preserve">Corona </t>
  </si>
  <si>
    <t>Johnson</t>
  </si>
  <si>
    <t>Pat</t>
  </si>
  <si>
    <t>Dress Circle /  C 9-15</t>
  </si>
  <si>
    <t>patjohns309@gmail.com</t>
  </si>
  <si>
    <t>1967 E Maple St</t>
  </si>
  <si>
    <t>North Canton</t>
  </si>
  <si>
    <t>OH</t>
  </si>
  <si>
    <t>kamilova</t>
  </si>
  <si>
    <t>nafisa</t>
  </si>
  <si>
    <t>Dress Circle /  G 8-10</t>
  </si>
  <si>
    <t>kamilovanafi@gmail.com</t>
  </si>
  <si>
    <t>Kamrani</t>
  </si>
  <si>
    <t>Mahvash</t>
  </si>
  <si>
    <t>Orchestra /  T 3-9</t>
  </si>
  <si>
    <t>Mahvash@kamrani.net</t>
  </si>
  <si>
    <t>2056Santa Clara Ave Alameda Ca</t>
  </si>
  <si>
    <t>Alameda</t>
  </si>
  <si>
    <t>Karahroudy</t>
  </si>
  <si>
    <t>Balcony /  H 1-7</t>
  </si>
  <si>
    <t>Kingaliak@yahoo.com</t>
  </si>
  <si>
    <t>109 Sedgefield Ct</t>
  </si>
  <si>
    <t>San Ramon</t>
  </si>
  <si>
    <t>Karami</t>
  </si>
  <si>
    <t>Shahin</t>
  </si>
  <si>
    <t>Orchestra /  J 2-4</t>
  </si>
  <si>
    <t>skarami141@gmail.com</t>
  </si>
  <si>
    <t>5303 Brandon Drive</t>
  </si>
  <si>
    <t xml:space="preserve">Rocklin </t>
  </si>
  <si>
    <t>Karimi</t>
  </si>
  <si>
    <t>Alireza</t>
  </si>
  <si>
    <t>Orchestra /  G 1-3</t>
  </si>
  <si>
    <t>aaalirzz@gmail.com</t>
  </si>
  <si>
    <t xml:space="preserve">403 Main Street </t>
  </si>
  <si>
    <t>Apt 505</t>
  </si>
  <si>
    <t>Karimi Ramirez</t>
  </si>
  <si>
    <t>Nasim</t>
  </si>
  <si>
    <t>Orchestra / H 9</t>
  </si>
  <si>
    <t>Nasim.karimi81@yahoo.com</t>
  </si>
  <si>
    <t>1787 Toyon Dr.</t>
  </si>
  <si>
    <t>Orchestra / H 10</t>
  </si>
  <si>
    <t>Kaykha</t>
  </si>
  <si>
    <t>Balcony /  H 20-22</t>
  </si>
  <si>
    <t>niakallen@yahoo.com</t>
  </si>
  <si>
    <t>746 Natoma Dr</t>
  </si>
  <si>
    <t>Kazemi</t>
  </si>
  <si>
    <t>Laleh</t>
  </si>
  <si>
    <t>Balcony / J 9</t>
  </si>
  <si>
    <t>lalehkazemi@yahoo.com</t>
  </si>
  <si>
    <t>190 Estates Drive</t>
  </si>
  <si>
    <t>Piedmont</t>
  </si>
  <si>
    <t>Kazemian</t>
  </si>
  <si>
    <t>Maziar</t>
  </si>
  <si>
    <t>Orchestra /  S 105-106</t>
  </si>
  <si>
    <t>Kazemian.maziar@gmail.com</t>
  </si>
  <si>
    <t>1430 Q st., unit 513</t>
  </si>
  <si>
    <t>Sacramento</t>
  </si>
  <si>
    <t>Kerachi</t>
  </si>
  <si>
    <t xml:space="preserve">Delband </t>
  </si>
  <si>
    <t>Boxes Right / U 3</t>
  </si>
  <si>
    <t>dkerachi@yahoo.com</t>
  </si>
  <si>
    <t>548 brannan st #101</t>
  </si>
  <si>
    <t>Boxes Right / U 2</t>
  </si>
  <si>
    <t>Orchestra /  C 103-106</t>
  </si>
  <si>
    <t>kerachi</t>
  </si>
  <si>
    <t>delband</t>
  </si>
  <si>
    <t>Orchestra /  C 101-102</t>
  </si>
  <si>
    <t>548 brannan street #101</t>
  </si>
  <si>
    <t>KERACHI</t>
  </si>
  <si>
    <t>LAILEE</t>
  </si>
  <si>
    <t>Orchestra /  J 109-110</t>
  </si>
  <si>
    <t>ldorani@gmail.com</t>
  </si>
  <si>
    <t>17 La Cuesta Dr</t>
  </si>
  <si>
    <t>Greenbrae</t>
  </si>
  <si>
    <t>Keshavarzi</t>
  </si>
  <si>
    <t>Dress Circle /  E 6-8</t>
  </si>
  <si>
    <t>mm.keshavarzi1990@gmail.com</t>
  </si>
  <si>
    <t>1601 Sanchez St</t>
  </si>
  <si>
    <t>Unti 1</t>
  </si>
  <si>
    <t>Keyhanvar</t>
  </si>
  <si>
    <t>Neda</t>
  </si>
  <si>
    <t>Orchestra / J 108</t>
  </si>
  <si>
    <t>Nedakeyhanvar@gmail.com</t>
  </si>
  <si>
    <t>590 Minnesota St.</t>
  </si>
  <si>
    <t>Apt 527</t>
  </si>
  <si>
    <t>Khalili</t>
  </si>
  <si>
    <t>Orchestra /  S 7-9</t>
  </si>
  <si>
    <t>akhalili@gmail.com</t>
  </si>
  <si>
    <t>402 Union Ave, #G</t>
  </si>
  <si>
    <t>Campbell</t>
  </si>
  <si>
    <t>Khatami</t>
  </si>
  <si>
    <t>Nazanin</t>
  </si>
  <si>
    <t>Dress Circle / C 3</t>
  </si>
  <si>
    <t>Coange9@yahoo.com</t>
  </si>
  <si>
    <t xml:space="preserve">524 Everett Ct </t>
  </si>
  <si>
    <t xml:space="preserve">Palo Alto </t>
  </si>
  <si>
    <t>Khooshabeh</t>
  </si>
  <si>
    <t>Ramoona</t>
  </si>
  <si>
    <t>Orchestra /  G 2-10</t>
  </si>
  <si>
    <t>Ramona_khoshabh@yahoo.com</t>
  </si>
  <si>
    <t>1135 luchessi dr apt 4</t>
  </si>
  <si>
    <t>khoshnevis</t>
  </si>
  <si>
    <t>Nikou</t>
  </si>
  <si>
    <t>Orchestra /  K 109-110</t>
  </si>
  <si>
    <t>khoshnevisnikou@gmail.com</t>
  </si>
  <si>
    <t>2430 Prospect St</t>
  </si>
  <si>
    <t>Apartment 104</t>
  </si>
  <si>
    <t>Berkeley</t>
  </si>
  <si>
    <t>Kiazal</t>
  </si>
  <si>
    <t>Balcony /  H 12-14</t>
  </si>
  <si>
    <t>s.kiazal@yahoo.com</t>
  </si>
  <si>
    <t>15 Patricia Road</t>
  </si>
  <si>
    <t>Kiyarash</t>
  </si>
  <si>
    <t xml:space="preserve">Kimiya </t>
  </si>
  <si>
    <t>Boxes /  A 3-4</t>
  </si>
  <si>
    <t>Kimiyakiyarash@gmail.com</t>
  </si>
  <si>
    <t>19540 Saratoga Los Gatos Rd</t>
  </si>
  <si>
    <t xml:space="preserve">Saratoga </t>
  </si>
  <si>
    <t>kleyman</t>
  </si>
  <si>
    <t>ella</t>
  </si>
  <si>
    <t>Dress Circle /  D 20-22</t>
  </si>
  <si>
    <t>Kleymanella@gmail.com</t>
  </si>
  <si>
    <t>115 Laurelwood Drive</t>
  </si>
  <si>
    <t>Koleini</t>
  </si>
  <si>
    <t>Paris</t>
  </si>
  <si>
    <t>Dress Circle /  C 18-20</t>
  </si>
  <si>
    <t>paris.koleini@gmail.com</t>
  </si>
  <si>
    <t>100 Corte Gracitas</t>
  </si>
  <si>
    <t>Kral</t>
  </si>
  <si>
    <t>Alex</t>
  </si>
  <si>
    <t>Dress Circle /  F 1-3</t>
  </si>
  <si>
    <t>AlexKral1995@gmail.com</t>
  </si>
  <si>
    <t>Kuhzarani</t>
  </si>
  <si>
    <t>Orchestra /  AA 101-102</t>
  </si>
  <si>
    <t>akuhzarani@gmail.com</t>
  </si>
  <si>
    <t>1085 Las Ovejas Ave.</t>
  </si>
  <si>
    <t>La</t>
  </si>
  <si>
    <t>Nazgol</t>
  </si>
  <si>
    <t>Dress Circle /  D 24-26</t>
  </si>
  <si>
    <t>nazgol.1377@yahoo.com</t>
  </si>
  <si>
    <t>2214 durant ave</t>
  </si>
  <si>
    <t>berkeley</t>
  </si>
  <si>
    <t>Lee</t>
  </si>
  <si>
    <t>Jocelyn</t>
  </si>
  <si>
    <t>Orchestra /  E 1-3</t>
  </si>
  <si>
    <t>Jklsmiles@gmail.com</t>
  </si>
  <si>
    <t>(323) 770-6635</t>
  </si>
  <si>
    <t>Orchestra /  E 113-114</t>
  </si>
  <si>
    <t>Leigh</t>
  </si>
  <si>
    <t>Orchestra /  K 5-7</t>
  </si>
  <si>
    <t>anna.leigh.989@gmail.com</t>
  </si>
  <si>
    <t>5421 Kara Drive</t>
  </si>
  <si>
    <t>Austin</t>
  </si>
  <si>
    <t>TX</t>
  </si>
  <si>
    <t>Lopez</t>
  </si>
  <si>
    <t>Marina</t>
  </si>
  <si>
    <t>Orchestra /  T 2-4</t>
  </si>
  <si>
    <t>lopez.alvarez.marina@gmail.com</t>
  </si>
  <si>
    <t>590 minnesota st. 535</t>
  </si>
  <si>
    <t>Brooklyn</t>
  </si>
  <si>
    <t>Orchestra /  F 5-7</t>
  </si>
  <si>
    <t>lopezbrooklyn50@gmail.com</t>
  </si>
  <si>
    <t>4250 Martin Way E</t>
  </si>
  <si>
    <t>Olympia</t>
  </si>
  <si>
    <t>WA</t>
  </si>
  <si>
    <t>lotfi</t>
  </si>
  <si>
    <t>ardalan</t>
  </si>
  <si>
    <t>Dress Circle /  G 2-4</t>
  </si>
  <si>
    <t>lotfi.rdn@gmail.com</t>
  </si>
  <si>
    <t>2200 Monroe st</t>
  </si>
  <si>
    <t>Santa clara</t>
  </si>
  <si>
    <t>Dress Circle / G 6</t>
  </si>
  <si>
    <t>Mabrie</t>
  </si>
  <si>
    <t>Orchestra /  N 12-14</t>
  </si>
  <si>
    <t>ellie@drmabrie.com</t>
  </si>
  <si>
    <t>415-445-9513</t>
  </si>
  <si>
    <t>Mahavar</t>
  </si>
  <si>
    <t>Siavash</t>
  </si>
  <si>
    <t>Balcony /  J 25-27</t>
  </si>
  <si>
    <t>Siavash.mahavar@yahoo.com</t>
  </si>
  <si>
    <t>576 29th street</t>
  </si>
  <si>
    <t>Maheryan</t>
  </si>
  <si>
    <t>Balcony / L 27</t>
  </si>
  <si>
    <t>Maheryanf@gmail.com</t>
  </si>
  <si>
    <t>350 laguna Honda , unit 7</t>
  </si>
  <si>
    <t>Malekpour</t>
  </si>
  <si>
    <t>Nadya</t>
  </si>
  <si>
    <t>Balcony /  H 21-23</t>
  </si>
  <si>
    <t>Malekpournadya@gmail.com</t>
  </si>
  <si>
    <t>20800 vally green dr. Apt 404</t>
  </si>
  <si>
    <t>Cupertino</t>
  </si>
  <si>
    <t>Marzban</t>
  </si>
  <si>
    <t>Bahador</t>
  </si>
  <si>
    <t>Orchestra /  L 1-3</t>
  </si>
  <si>
    <t>ba.marzban@gmail.com</t>
  </si>
  <si>
    <t>1222 Harrison st</t>
  </si>
  <si>
    <t>apt 2430</t>
  </si>
  <si>
    <t>Masoudian</t>
  </si>
  <si>
    <t>Boxes / M 2</t>
  </si>
  <si>
    <t>nimamasoudian@gmail.com</t>
  </si>
  <si>
    <t>1085 nutrients blvd past 115</t>
  </si>
  <si>
    <t>Livermore</t>
  </si>
  <si>
    <t>Boxes / M 1</t>
  </si>
  <si>
    <t>Boxes /  M 3-4</t>
  </si>
  <si>
    <t>NIMAMASOUDIAN@GMAIL.COM</t>
  </si>
  <si>
    <t>1085 MURRIETA BLVD</t>
  </si>
  <si>
    <t>APT 115</t>
  </si>
  <si>
    <t>Boxes / N 2</t>
  </si>
  <si>
    <t>Matloob</t>
  </si>
  <si>
    <t>Shahpour</t>
  </si>
  <si>
    <t>Balcony / L 30</t>
  </si>
  <si>
    <t>s_m26@yahoo.com</t>
  </si>
  <si>
    <t>6446 Harwood Ave.</t>
  </si>
  <si>
    <t>Balcony /  N 30-32</t>
  </si>
  <si>
    <t>Mazarei</t>
  </si>
  <si>
    <t>Vandad</t>
  </si>
  <si>
    <t>Dress Circle /  G 24-26</t>
  </si>
  <si>
    <t>v.mazarei@gmail.com</t>
  </si>
  <si>
    <t>399 Fremont St</t>
  </si>
  <si>
    <t>STE 3602</t>
  </si>
  <si>
    <t>Mehr</t>
  </si>
  <si>
    <t>Nilufar</t>
  </si>
  <si>
    <t>Dress Circle / E 24</t>
  </si>
  <si>
    <t>nilufar.mehr@gmail.com</t>
  </si>
  <si>
    <t>6363 Christie Ave</t>
  </si>
  <si>
    <t>Apt 1315</t>
  </si>
  <si>
    <t>Emeryville</t>
  </si>
  <si>
    <t>Mehranfard</t>
  </si>
  <si>
    <t>Mojgan</t>
  </si>
  <si>
    <t>Dress Circle /  B 7-13</t>
  </si>
  <si>
    <t>Mojgan_meh@yahoo.com</t>
  </si>
  <si>
    <t>1005 Via Veneto</t>
  </si>
  <si>
    <t>merajee</t>
  </si>
  <si>
    <t>emal</t>
  </si>
  <si>
    <t>Orchestra /  R 1-3</t>
  </si>
  <si>
    <t>kmerajee@me.com</t>
  </si>
  <si>
    <t>7955 bothwell dr</t>
  </si>
  <si>
    <t>sacramento</t>
  </si>
  <si>
    <t>Merikhi</t>
  </si>
  <si>
    <t>Dress Circle /  C 21-25</t>
  </si>
  <si>
    <t>amir@marsglass.co</t>
  </si>
  <si>
    <t>101A Clay Street</t>
  </si>
  <si>
    <t>Suite 211</t>
  </si>
  <si>
    <t>Mianaby</t>
  </si>
  <si>
    <t>Sardar</t>
  </si>
  <si>
    <t>Boxes Left / B 2</t>
  </si>
  <si>
    <t>Djmiansf@gmail.com</t>
  </si>
  <si>
    <t>108 tivoli ln</t>
  </si>
  <si>
    <t xml:space="preserve">Danville </t>
  </si>
  <si>
    <t>Boxes Left / B 1</t>
  </si>
  <si>
    <t>Milani</t>
  </si>
  <si>
    <t>Hooman</t>
  </si>
  <si>
    <t>Orchestra /  U 110-111</t>
  </si>
  <si>
    <t>Hoomanmilani25@yahoo.com</t>
  </si>
  <si>
    <t>3353 Yosemite Avenue, El Cerrito, CA, USA</t>
  </si>
  <si>
    <t>El Cerrito</t>
  </si>
  <si>
    <t>Mir</t>
  </si>
  <si>
    <t>Balcony /  L 21-23</t>
  </si>
  <si>
    <t>Shaymirzan@gmail.com</t>
  </si>
  <si>
    <t>224 Morning Sun Avenue</t>
  </si>
  <si>
    <t>Missaghi</t>
  </si>
  <si>
    <t>Orchestra /  A 101-102</t>
  </si>
  <si>
    <t>Missaghia@gmail.com</t>
  </si>
  <si>
    <t>31044 San Antonio st</t>
  </si>
  <si>
    <t>Moafi</t>
  </si>
  <si>
    <t>Kambiz</t>
  </si>
  <si>
    <t>Balcony /  J 20-22</t>
  </si>
  <si>
    <t>kambizmoafi@gmail.com</t>
  </si>
  <si>
    <t>98 UNDERHILL RD</t>
  </si>
  <si>
    <t>ORINDA</t>
  </si>
  <si>
    <t>Balcony / J 24</t>
  </si>
  <si>
    <t>Underhill Rd</t>
  </si>
  <si>
    <t>Mobin</t>
  </si>
  <si>
    <t>Farzad</t>
  </si>
  <si>
    <t>Dress Circle /  D 1-3</t>
  </si>
  <si>
    <t>phillipmobin@gmail.com</t>
  </si>
  <si>
    <t>280 Leslie Ct.,</t>
  </si>
  <si>
    <t>Mountain View</t>
  </si>
  <si>
    <t xml:space="preserve">Moeendarbari </t>
  </si>
  <si>
    <t>Sina</t>
  </si>
  <si>
    <t>Orchestra /  S 110-111</t>
  </si>
  <si>
    <t>sina.moeen@gmail.com</t>
  </si>
  <si>
    <t>327 Innisfree Dr</t>
  </si>
  <si>
    <t>Daly City</t>
  </si>
  <si>
    <t>Mohamad</t>
  </si>
  <si>
    <t>Masita</t>
  </si>
  <si>
    <t>Balcony /  N 12-14</t>
  </si>
  <si>
    <t>masita.mohamad@gmail.com</t>
  </si>
  <si>
    <t>434 Minna St APT 1607</t>
  </si>
  <si>
    <t>Mohammadi Makrani</t>
  </si>
  <si>
    <t>Hosein</t>
  </si>
  <si>
    <t>Balcony /  L 6-14</t>
  </si>
  <si>
    <t>hoseinmakrani@gmail.com</t>
  </si>
  <si>
    <t>415 E Taylor St</t>
  </si>
  <si>
    <t>Apt 3115</t>
  </si>
  <si>
    <t>SAN JOSE</t>
  </si>
  <si>
    <t>Mohebbi</t>
  </si>
  <si>
    <t>Azadeh</t>
  </si>
  <si>
    <t>Orchestra /  M 9-13</t>
  </si>
  <si>
    <t>amohebbi@sbcglobal.net</t>
  </si>
  <si>
    <t>3527 Country Club Terrace</t>
  </si>
  <si>
    <t>Mohsenin</t>
  </si>
  <si>
    <t>Yasaman</t>
  </si>
  <si>
    <t>Dress Circle /  E 5-11</t>
  </si>
  <si>
    <t>yasmos@gmail.com</t>
  </si>
  <si>
    <t>1600 Beach Street</t>
  </si>
  <si>
    <t>mokhtarian</t>
  </si>
  <si>
    <t>khashayar</t>
  </si>
  <si>
    <t>Balcony /  N 20-22</t>
  </si>
  <si>
    <t>khashayar1992@yahoo.com</t>
  </si>
  <si>
    <t>2508 l St. APT 19</t>
  </si>
  <si>
    <t>Mondragon</t>
  </si>
  <si>
    <t>Joyce</t>
  </si>
  <si>
    <t>Orchestra /  J 101-104</t>
  </si>
  <si>
    <t>jr_incali@hotmail.com</t>
  </si>
  <si>
    <t>4141 Hawkins St.</t>
  </si>
  <si>
    <t>Fremont</t>
  </si>
  <si>
    <t>Morais</t>
  </si>
  <si>
    <t xml:space="preserve">Vanessa </t>
  </si>
  <si>
    <t>Balcony /  L 11-13</t>
  </si>
  <si>
    <t>vlm1201@gmail.com</t>
  </si>
  <si>
    <t>1451 Creekside Drive apt 3095</t>
  </si>
  <si>
    <t>Morgan</t>
  </si>
  <si>
    <t>Lisa</t>
  </si>
  <si>
    <t>Dress Circle /  F 6-12</t>
  </si>
  <si>
    <t>lisamorgan9321@gmail.com</t>
  </si>
  <si>
    <t>8 Lafayette lane, Coto de Caza, CA 92679</t>
  </si>
  <si>
    <t>Coto de Caza,</t>
  </si>
  <si>
    <t>Balcony /  J 21-23</t>
  </si>
  <si>
    <t>Morrison</t>
  </si>
  <si>
    <t>Lilly</t>
  </si>
  <si>
    <t>Orchestra /  H 110-114</t>
  </si>
  <si>
    <t>lilly.morrison@me.com</t>
  </si>
  <si>
    <t>920 Wilmington Way</t>
  </si>
  <si>
    <t>Emerald Hills</t>
  </si>
  <si>
    <t>Morton</t>
  </si>
  <si>
    <t>Jess</t>
  </si>
  <si>
    <t>Balcony /  H 8-10</t>
  </si>
  <si>
    <t>mortonjess83@gmail.com</t>
  </si>
  <si>
    <t>614 1st Ave</t>
  </si>
  <si>
    <t>Laurel</t>
  </si>
  <si>
    <t>MT</t>
  </si>
  <si>
    <t>Dress Circle /  B 19-21</t>
  </si>
  <si>
    <t>Mosavi</t>
  </si>
  <si>
    <t>Hadi</t>
  </si>
  <si>
    <t>Orchestra /  V 109-110</t>
  </si>
  <si>
    <t>ahmtrs@yahoo.com</t>
  </si>
  <si>
    <t>2510 Monument Blvd Ste B</t>
  </si>
  <si>
    <t xml:space="preserve">Concord </t>
  </si>
  <si>
    <t>Orchestra / V 108</t>
  </si>
  <si>
    <t>2510 Monument Blvd</t>
  </si>
  <si>
    <t>Motamedi</t>
  </si>
  <si>
    <t>Nasime</t>
  </si>
  <si>
    <t>Orchestra /  F 101-104</t>
  </si>
  <si>
    <t>desireem@gmail.com</t>
  </si>
  <si>
    <t>2190 Ward Way</t>
  </si>
  <si>
    <t>Woodside</t>
  </si>
  <si>
    <t>Motiey</t>
  </si>
  <si>
    <t>Golnaz</t>
  </si>
  <si>
    <t>Orchestra /  AA 106-107</t>
  </si>
  <si>
    <t>golnaz_motiey@yahoo.com</t>
  </si>
  <si>
    <t>46 Edison Avenu</t>
  </si>
  <si>
    <t>Corte Madera</t>
  </si>
  <si>
    <t xml:space="preserve">Mousanejad </t>
  </si>
  <si>
    <t>Balcony / M 28</t>
  </si>
  <si>
    <t>sara_shahrokh@yahoo.com</t>
  </si>
  <si>
    <t>Pobox 5155</t>
  </si>
  <si>
    <t>Novato</t>
  </si>
  <si>
    <t>movahedian</t>
  </si>
  <si>
    <t>leila</t>
  </si>
  <si>
    <t>Orchestra /  R 105-108</t>
  </si>
  <si>
    <t>leilamovahedian@gmail.com</t>
  </si>
  <si>
    <t>228 Channing rd</t>
  </si>
  <si>
    <t>burlingame</t>
  </si>
  <si>
    <t>Moz</t>
  </si>
  <si>
    <t>Stan</t>
  </si>
  <si>
    <t>Dress Circle /  G 12-16</t>
  </si>
  <si>
    <t>riseofatlantis87@gmail.com</t>
  </si>
  <si>
    <t xml:space="preserve">Mundy </t>
  </si>
  <si>
    <t xml:space="preserve">Nicholas </t>
  </si>
  <si>
    <t>Orchestra /  K 103-104</t>
  </si>
  <si>
    <t>mundy.nick@gmail.com</t>
  </si>
  <si>
    <t xml:space="preserve">747 Maine st </t>
  </si>
  <si>
    <t xml:space="preserve">Vallejo </t>
  </si>
  <si>
    <t>Murphey</t>
  </si>
  <si>
    <t>Flynn</t>
  </si>
  <si>
    <t>Dress Circle /  E 35-37</t>
  </si>
  <si>
    <t>flynnmurphey@gmail.com</t>
  </si>
  <si>
    <t>169 Broadway</t>
  </si>
  <si>
    <t>Newport</t>
  </si>
  <si>
    <t>RI</t>
  </si>
  <si>
    <t>Orchestra /  J 6-8</t>
  </si>
  <si>
    <t>Behnam</t>
  </si>
  <si>
    <t>Orchestra /  U 2-12</t>
  </si>
  <si>
    <t>hosnatavakoli@yahoo.com</t>
  </si>
  <si>
    <t xml:space="preserve">79 Caine Ave </t>
  </si>
  <si>
    <t>Nasri</t>
  </si>
  <si>
    <t>Saloumeh</t>
  </si>
  <si>
    <t>Balcony /  L 29-31</t>
  </si>
  <si>
    <t>Saloumeh.nasri@evrealestate.com</t>
  </si>
  <si>
    <t xml:space="preserve">225 county down Ct </t>
  </si>
  <si>
    <t xml:space="preserve">Roseville </t>
  </si>
  <si>
    <t>Nemati</t>
  </si>
  <si>
    <t>Nilo</t>
  </si>
  <si>
    <t>Balcony /  N 31-33</t>
  </si>
  <si>
    <t>N_nemati2010@yahoo.com</t>
  </si>
  <si>
    <t>925-464-9100</t>
  </si>
  <si>
    <t>8003 S Lake Dr</t>
  </si>
  <si>
    <t>Nikaein</t>
  </si>
  <si>
    <t>Sanaz</t>
  </si>
  <si>
    <t>Orchestra /  L 101-105</t>
  </si>
  <si>
    <t>sanazbanu@yahoo.com</t>
  </si>
  <si>
    <t>415-730-7940</t>
  </si>
  <si>
    <t>117 Diablo Drive</t>
  </si>
  <si>
    <t>nikbakht</t>
  </si>
  <si>
    <t>ali</t>
  </si>
  <si>
    <t>Orchestra / E 14</t>
  </si>
  <si>
    <t>alinik55@yahoo.com</t>
  </si>
  <si>
    <t>44 hagen oaks ct</t>
  </si>
  <si>
    <t>alamo</t>
  </si>
  <si>
    <t>Orchestra / F 14</t>
  </si>
  <si>
    <t>Norouzi</t>
  </si>
  <si>
    <t>Orchestra / H 109</t>
  </si>
  <si>
    <t>asia.2426@yahoo.com</t>
  </si>
  <si>
    <t>3939 mulberry dr</t>
  </si>
  <si>
    <t>C</t>
  </si>
  <si>
    <t>Pouyan</t>
  </si>
  <si>
    <t>Dress Circle /  D 30-32</t>
  </si>
  <si>
    <t>Pouyanmirnorouzi@yahoo.com</t>
  </si>
  <si>
    <t>525 N el camino real</t>
  </si>
  <si>
    <t>Apt 204</t>
  </si>
  <si>
    <t>San Mateo</t>
  </si>
  <si>
    <t xml:space="preserve">Nouri </t>
  </si>
  <si>
    <t xml:space="preserve">Kat </t>
  </si>
  <si>
    <t>Dress Circle / D 35</t>
  </si>
  <si>
    <t>Katnouri3@gmail.com</t>
  </si>
  <si>
    <t xml:space="preserve">5455 hilltop crescent </t>
  </si>
  <si>
    <t>Dress Circle / D 34</t>
  </si>
  <si>
    <t>Nowroozi</t>
  </si>
  <si>
    <t>Sahar</t>
  </si>
  <si>
    <t>Dress Circle /  A 1-3</t>
  </si>
  <si>
    <t>snowroo22@gmail.com</t>
  </si>
  <si>
    <t xml:space="preserve">318 Frederick St </t>
  </si>
  <si>
    <t>Unit 4</t>
  </si>
  <si>
    <t>Page</t>
  </si>
  <si>
    <t>Janthida</t>
  </si>
  <si>
    <t>Dress Circle /  A 16-18</t>
  </si>
  <si>
    <t>janthidapage92@gmail.com</t>
  </si>
  <si>
    <t>15250 32nd Ave S - Unit 69211</t>
  </si>
  <si>
    <t>SeaTac</t>
  </si>
  <si>
    <t>Dress Circle /  A 12-14</t>
  </si>
  <si>
    <t>Pahlavan</t>
  </si>
  <si>
    <t>Pantea</t>
  </si>
  <si>
    <t>Dress Circle /  B 2-4</t>
  </si>
  <si>
    <t>pantea51@gmail.com</t>
  </si>
  <si>
    <t>4612 Orchestra Pl</t>
  </si>
  <si>
    <t>Fairfield</t>
  </si>
  <si>
    <t>Panah</t>
  </si>
  <si>
    <t>Michael</t>
  </si>
  <si>
    <t>Dress Circle /  C 17-19</t>
  </si>
  <si>
    <t>Michael.Panah@yahoo.com</t>
  </si>
  <si>
    <t>591 22nd St</t>
  </si>
  <si>
    <t>Panahi</t>
  </si>
  <si>
    <t>Soulmaz</t>
  </si>
  <si>
    <t>Balcony /  J 11-13</t>
  </si>
  <si>
    <t>soulmazpanahi@gmail.com</t>
  </si>
  <si>
    <t xml:space="preserve">1530 summit rd </t>
  </si>
  <si>
    <t xml:space="preserve">Berkeley </t>
  </si>
  <si>
    <t xml:space="preserve">Parhiscar </t>
  </si>
  <si>
    <t>Afshin</t>
  </si>
  <si>
    <t>Orchestra /  D 111-114</t>
  </si>
  <si>
    <t>Aparhiscar@gmail.com</t>
  </si>
  <si>
    <t xml:space="preserve">72 Mott Drive </t>
  </si>
  <si>
    <t>Orchestra /  D 107-108</t>
  </si>
  <si>
    <t>Pasha</t>
  </si>
  <si>
    <t>Orchestra /  H 107-108</t>
  </si>
  <si>
    <t>amirrezapasha@hotmail.com</t>
  </si>
  <si>
    <t>Ignacio</t>
  </si>
  <si>
    <t>Pedramfard</t>
  </si>
  <si>
    <t>Orchestra /  P 108-109</t>
  </si>
  <si>
    <t>Hpedramfard@yahoo.com</t>
  </si>
  <si>
    <t>764 Winterside Cir</t>
  </si>
  <si>
    <t>Peiravian</t>
  </si>
  <si>
    <t>Naser</t>
  </si>
  <si>
    <t>Orchestra /  N 11-13</t>
  </si>
  <si>
    <t>n.peiravian@gmail.com</t>
  </si>
  <si>
    <t>1800 Washington St</t>
  </si>
  <si>
    <t>Apt 212</t>
  </si>
  <si>
    <t>PEYVANDI</t>
  </si>
  <si>
    <t>ALI</t>
  </si>
  <si>
    <t>Dress Circle /  B 18-24</t>
  </si>
  <si>
    <t>alipeyvandi@gmail.com</t>
  </si>
  <si>
    <t>381 Riviera dr</t>
  </si>
  <si>
    <t>pinkhasov</t>
  </si>
  <si>
    <t>german</t>
  </si>
  <si>
    <t>Dress Circle /  E 13-15</t>
  </si>
  <si>
    <t>kaylaashurova@gmail.com</t>
  </si>
  <si>
    <t>9 lansdale avenue</t>
  </si>
  <si>
    <t>san anselmo</t>
  </si>
  <si>
    <t xml:space="preserve">Pourmohammad </t>
  </si>
  <si>
    <t>Maryam</t>
  </si>
  <si>
    <t>Orchestra /  AA 104-105</t>
  </si>
  <si>
    <t>Maryamrice88@gmail.com</t>
  </si>
  <si>
    <t>668 River st</t>
  </si>
  <si>
    <t xml:space="preserve">Lincoln </t>
  </si>
  <si>
    <t xml:space="preserve">Poursafar </t>
  </si>
  <si>
    <t xml:space="preserve">Alireza </t>
  </si>
  <si>
    <t>Orchestra /  C 107-108</t>
  </si>
  <si>
    <t>apoursafar85@gmail.com</t>
  </si>
  <si>
    <t>440 9th Ave</t>
  </si>
  <si>
    <t>Apt. 4</t>
  </si>
  <si>
    <t>Radaei</t>
  </si>
  <si>
    <t>Fatemeh</t>
  </si>
  <si>
    <t>Orchestra /  L 109-110</t>
  </si>
  <si>
    <t>ieadarf@gmail.com</t>
  </si>
  <si>
    <t>40367 Imperio Place</t>
  </si>
  <si>
    <t>Rafijah</t>
  </si>
  <si>
    <t>Neala</t>
  </si>
  <si>
    <t>Orchestra /  F 1-3</t>
  </si>
  <si>
    <t>nrafijah@gmail.com</t>
  </si>
  <si>
    <t>1710 Dixon Street</t>
  </si>
  <si>
    <t>Redondo Beach</t>
  </si>
  <si>
    <t>rahaei</t>
  </si>
  <si>
    <t>rozita</t>
  </si>
  <si>
    <t>Balcony / M 7</t>
  </si>
  <si>
    <t>rozitarahaei@yahoo.com</t>
  </si>
  <si>
    <t>1000 Franklin st</t>
  </si>
  <si>
    <t>Rahnemoon</t>
  </si>
  <si>
    <t>Kimia</t>
  </si>
  <si>
    <t>Dress Circle /  C 2-12</t>
  </si>
  <si>
    <t>kimiar@hotmail.com</t>
  </si>
  <si>
    <t>838 CLIPPER TER</t>
  </si>
  <si>
    <t>SAN FRANCISCO</t>
  </si>
  <si>
    <t>Dress Circle /  D 2-10</t>
  </si>
  <si>
    <t>Dress Circle / D 12</t>
  </si>
  <si>
    <t>raoufizadeh</t>
  </si>
  <si>
    <t>asma</t>
  </si>
  <si>
    <t>Orchestra /  L 107-108</t>
  </si>
  <si>
    <t>asma.raoufi@gmail.com</t>
  </si>
  <si>
    <t>1821 South Milpitas Blvd apt 429</t>
  </si>
  <si>
    <t>MILPITAS</t>
  </si>
  <si>
    <t>Rashidifar</t>
  </si>
  <si>
    <t>Orchestra /  G 104-105</t>
  </si>
  <si>
    <t>Amir.Rashidifar@gmail.com</t>
  </si>
  <si>
    <t>5431 Blackhawk Dr</t>
  </si>
  <si>
    <t>Rassouli</t>
  </si>
  <si>
    <t>Golzar</t>
  </si>
  <si>
    <t>Orchestra /  H 1-7</t>
  </si>
  <si>
    <t>g.rassouli@hotmail.com</t>
  </si>
  <si>
    <t>1780 McAllister St</t>
  </si>
  <si>
    <t>Ratel</t>
  </si>
  <si>
    <t>Dress Circle / C 30</t>
  </si>
  <si>
    <t>Raniaratel@icloud.com</t>
  </si>
  <si>
    <t xml:space="preserve">7780 squirrel creek circle </t>
  </si>
  <si>
    <t>Razeghi</t>
  </si>
  <si>
    <t>Orchestra / G 103</t>
  </si>
  <si>
    <t>alireza.razeghi@gmail.com</t>
  </si>
  <si>
    <t>2000 walnut ave T304</t>
  </si>
  <si>
    <t>Razmi</t>
  </si>
  <si>
    <t>Elaheh</t>
  </si>
  <si>
    <t>Boxes / E 4</t>
  </si>
  <si>
    <t>elahehrazmi@yahoo.com</t>
  </si>
  <si>
    <t xml:space="preserve">9 Ashmount Way </t>
  </si>
  <si>
    <t>Boxes / E 3</t>
  </si>
  <si>
    <t>Reeves</t>
  </si>
  <si>
    <t>Frank</t>
  </si>
  <si>
    <t>Dress Circle /  F 15-25</t>
  </si>
  <si>
    <t>frank23reeves@gmail.com</t>
  </si>
  <si>
    <t>Rezaei</t>
  </si>
  <si>
    <t>Dress Circle /  G 5-7</t>
  </si>
  <si>
    <t>sheydarezaee@gmail.com</t>
  </si>
  <si>
    <t>430 S Fuller Ave APT 11E</t>
  </si>
  <si>
    <t>Los Angeles</t>
  </si>
  <si>
    <t>Rezaie</t>
  </si>
  <si>
    <t>Orchestra /  S 101-104</t>
  </si>
  <si>
    <t>kh6699@gmail.com</t>
  </si>
  <si>
    <t>9221 Klemetson Dr</t>
  </si>
  <si>
    <t>Rezapour</t>
  </si>
  <si>
    <t>Orchestra /  F 113-114</t>
  </si>
  <si>
    <t>frezapour@ymail.com</t>
  </si>
  <si>
    <t>2743 Clarion Place FF CA</t>
  </si>
  <si>
    <t>FF</t>
  </si>
  <si>
    <t>Rohani</t>
  </si>
  <si>
    <t>Tara</t>
  </si>
  <si>
    <t>Orchestra /  U 103-104</t>
  </si>
  <si>
    <t>Tararohani@gmail.com</t>
  </si>
  <si>
    <t>6509 Manhatten ct</t>
  </si>
  <si>
    <t>Martinez</t>
  </si>
  <si>
    <t>Rostami Kia</t>
  </si>
  <si>
    <t>Farrokh</t>
  </si>
  <si>
    <t>Orchestra /  L 111-112</t>
  </si>
  <si>
    <t>saytec@gmail.com</t>
  </si>
  <si>
    <t>1037 Second St</t>
  </si>
  <si>
    <t>Ryno</t>
  </si>
  <si>
    <t>Afsoon</t>
  </si>
  <si>
    <t>Dress Circle / A 15</t>
  </si>
  <si>
    <t>afsoonsh1361@gmail.com</t>
  </si>
  <si>
    <t>65 Moore Road</t>
  </si>
  <si>
    <t>Sabbaghian</t>
  </si>
  <si>
    <t>Boxes / A 1</t>
  </si>
  <si>
    <t>ssabb001@mac.com</t>
  </si>
  <si>
    <t>206 Oak Tree Circle</t>
  </si>
  <si>
    <t>Los Gatos</t>
  </si>
  <si>
    <t>Boxes / A 2</t>
  </si>
  <si>
    <t>Sadati</t>
  </si>
  <si>
    <t>Orchestra /  T 109-111</t>
  </si>
  <si>
    <t>nimaks81@gmail.com</t>
  </si>
  <si>
    <t>P o box 3248</t>
  </si>
  <si>
    <t xml:space="preserve">Martinez </t>
  </si>
  <si>
    <t>Sadeghi</t>
  </si>
  <si>
    <t>Orchestra /  N 2-4</t>
  </si>
  <si>
    <t>Sadeghi.parisa@gmail.com</t>
  </si>
  <si>
    <t>1632 Surrey ct</t>
  </si>
  <si>
    <t>Dress Circle /  A 2-10</t>
  </si>
  <si>
    <t>ysadeghi95@gmail.com</t>
  </si>
  <si>
    <t>1329 Monterosso St</t>
  </si>
  <si>
    <t>Dress Circle / E 26</t>
  </si>
  <si>
    <t>Safer</t>
  </si>
  <si>
    <t>Izzet</t>
  </si>
  <si>
    <t>Dress Circle / A 5</t>
  </si>
  <si>
    <t>isafer@gmail.com</t>
  </si>
  <si>
    <t>1395 22nd St. Apt 447</t>
  </si>
  <si>
    <t xml:space="preserve">SaIndian </t>
  </si>
  <si>
    <t xml:space="preserve">Miriam </t>
  </si>
  <si>
    <t>Dress Circle /  B 30-32</t>
  </si>
  <si>
    <t>miriamsaidian@gmail.com</t>
  </si>
  <si>
    <t xml:space="preserve">5733 medallion Ct </t>
  </si>
  <si>
    <t xml:space="preserve">Castro valley </t>
  </si>
  <si>
    <t>Salehomoum</t>
  </si>
  <si>
    <t>Orchestra /  J 10-12</t>
  </si>
  <si>
    <t>Nsalehomoum@gmail.com</t>
  </si>
  <si>
    <t>109 La Bolsa Rd</t>
  </si>
  <si>
    <t>Orchestra / J 14</t>
  </si>
  <si>
    <t>Salmasi</t>
  </si>
  <si>
    <t>Vafi</t>
  </si>
  <si>
    <t>Dress Circle /  B 1-5</t>
  </si>
  <si>
    <t>vafi.salmasi@gmail.com</t>
  </si>
  <si>
    <t>3391 Thomas Dr</t>
  </si>
  <si>
    <t>Palo Alto</t>
  </si>
  <si>
    <t xml:space="preserve">Sandhu </t>
  </si>
  <si>
    <t>Harjas</t>
  </si>
  <si>
    <t>Orchestra /  E 6-12</t>
  </si>
  <si>
    <t>Jassandhu_1@hotmail.com</t>
  </si>
  <si>
    <t xml:space="preserve">338 Main Street </t>
  </si>
  <si>
    <t>5 D</t>
  </si>
  <si>
    <t>Sarbakhsh</t>
  </si>
  <si>
    <t>Reza</t>
  </si>
  <si>
    <t>Orchestra /  K 101-102</t>
  </si>
  <si>
    <t>sarbakhsh@gmail.com</t>
  </si>
  <si>
    <t>215 West 92nd Street, 12C</t>
  </si>
  <si>
    <t>New York</t>
  </si>
  <si>
    <t>NY</t>
  </si>
  <si>
    <t>Saremi</t>
  </si>
  <si>
    <t>Shima</t>
  </si>
  <si>
    <t>Orchestra /  E 107-112</t>
  </si>
  <si>
    <t>shimarealestate@yahoo.com</t>
  </si>
  <si>
    <t>235 Gil Blas Rd</t>
  </si>
  <si>
    <t>Orchestra /  D 109-110</t>
  </si>
  <si>
    <t>Sarens</t>
  </si>
  <si>
    <t>Derek</t>
  </si>
  <si>
    <t>Orchestra /  M 112-114</t>
  </si>
  <si>
    <t>dereksarens663@gmail.com</t>
  </si>
  <si>
    <t>sasounian</t>
  </si>
  <si>
    <t>edik</t>
  </si>
  <si>
    <t>Balcony /  N 1-3</t>
  </si>
  <si>
    <t>ediksasounian@gmail.com</t>
  </si>
  <si>
    <t>2341 s. el camino real</t>
  </si>
  <si>
    <t>san mateo</t>
  </si>
  <si>
    <t>Balcony /  N 2-4</t>
  </si>
  <si>
    <t>Sebt</t>
  </si>
  <si>
    <t>Salma</t>
  </si>
  <si>
    <t>Orchestra /  T 105-106</t>
  </si>
  <si>
    <t>salmasebt@mac.com</t>
  </si>
  <si>
    <t>45 Hartford Avenue</t>
  </si>
  <si>
    <t>San Carlos</t>
  </si>
  <si>
    <t>seckandary</t>
  </si>
  <si>
    <t>muzgan</t>
  </si>
  <si>
    <t>Orchestra /  G 5-7</t>
  </si>
  <si>
    <t>mseckandary@gmail.com</t>
  </si>
  <si>
    <t>326 sunset blvd</t>
  </si>
  <si>
    <t>hayward</t>
  </si>
  <si>
    <t>Seemann</t>
  </si>
  <si>
    <t>Wesley</t>
  </si>
  <si>
    <t>Dress Circle /  B 23-25</t>
  </si>
  <si>
    <t>seemannwesley11@gmail.com</t>
  </si>
  <si>
    <t>211 Shattuck Ave S, Apt B14</t>
  </si>
  <si>
    <t>Renton</t>
  </si>
  <si>
    <t>Selahi</t>
  </si>
  <si>
    <t>Amirali</t>
  </si>
  <si>
    <t>Dress Circle /  E 10-12</t>
  </si>
  <si>
    <t>amirali.selahi@gmail.com</t>
  </si>
  <si>
    <t>849 West Orange Avenue</t>
  </si>
  <si>
    <t>Apt 2032</t>
  </si>
  <si>
    <t>Dress Circle / E 14</t>
  </si>
  <si>
    <t>Sepidazin</t>
  </si>
  <si>
    <t>Mahasti</t>
  </si>
  <si>
    <t>Balcony /  N 11-15</t>
  </si>
  <si>
    <t>mahastisepidazin@yahoo.com</t>
  </si>
  <si>
    <t>130 El Portal Place</t>
  </si>
  <si>
    <t>Sh</t>
  </si>
  <si>
    <t>Al</t>
  </si>
  <si>
    <t>Balcony /  K 12-14</t>
  </si>
  <si>
    <t>shariat@gmail.com</t>
  </si>
  <si>
    <t>2 Admiral Dr</t>
  </si>
  <si>
    <t>Shabani</t>
  </si>
  <si>
    <t>Dress Circle /  D 31-33</t>
  </si>
  <si>
    <t>shabani1@gmail.com</t>
  </si>
  <si>
    <t>560 Haight St Apt 206</t>
  </si>
  <si>
    <t>Shaghafi</t>
  </si>
  <si>
    <t>Natasha</t>
  </si>
  <si>
    <t>Dress Circle /  E 16-20</t>
  </si>
  <si>
    <t>Natashashaghafi@gmail.com</t>
  </si>
  <si>
    <t>3756 deer trail ct</t>
  </si>
  <si>
    <t>Shahali</t>
  </si>
  <si>
    <t>Donya</t>
  </si>
  <si>
    <t>Orchestra /  D 5-9</t>
  </si>
  <si>
    <t>Dshahahli@gmail.com</t>
  </si>
  <si>
    <t>3080 show jumper ln</t>
  </si>
  <si>
    <t>Reno</t>
  </si>
  <si>
    <t>NV</t>
  </si>
  <si>
    <t>Shahidi</t>
  </si>
  <si>
    <t>Orchestra /  S 6-8</t>
  </si>
  <si>
    <t>nima.shahidi@gmail.com</t>
  </si>
  <si>
    <t>Pacific Ave</t>
  </si>
  <si>
    <t>Shahlaee</t>
  </si>
  <si>
    <t>Abtin</t>
  </si>
  <si>
    <t>Balcony / L 1</t>
  </si>
  <si>
    <t>ashahlaee@yahoo.com</t>
  </si>
  <si>
    <t>1 Hawthorne Street</t>
  </si>
  <si>
    <t>Unit 18G</t>
  </si>
  <si>
    <t>Shahrasbi</t>
  </si>
  <si>
    <t>Nasser</t>
  </si>
  <si>
    <t>Balcony /  J 12-14</t>
  </si>
  <si>
    <t>nasser.shahrasbi@gmail.com</t>
  </si>
  <si>
    <t>260 King St Unit 525</t>
  </si>
  <si>
    <t xml:space="preserve">Shakeri </t>
  </si>
  <si>
    <t xml:space="preserve">Korosh </t>
  </si>
  <si>
    <t>Boxes Left / F 3</t>
  </si>
  <si>
    <t>Drkshakeri@gmail.com</t>
  </si>
  <si>
    <t>1533 shattuck suite a</t>
  </si>
  <si>
    <t>Boxes Left / F 2</t>
  </si>
  <si>
    <t>Boxes Left / E 2</t>
  </si>
  <si>
    <t>Boxes Left / F 1</t>
  </si>
  <si>
    <t>Boxes Left / E 1</t>
  </si>
  <si>
    <t>Boxes Left / H 3</t>
  </si>
  <si>
    <t>Boxes Left / H 2</t>
  </si>
  <si>
    <t>Boxes Left / H 1</t>
  </si>
  <si>
    <t>Orchestra /  H 103-104</t>
  </si>
  <si>
    <t xml:space="preserve">1533 shattuck ave </t>
  </si>
  <si>
    <t>Shariati Samani</t>
  </si>
  <si>
    <t>Orchestra / K 13</t>
  </si>
  <si>
    <t>sina.shariati@gmail.com</t>
  </si>
  <si>
    <t>45 Lansing street</t>
  </si>
  <si>
    <t># 712</t>
  </si>
  <si>
    <t>Sharifzad</t>
  </si>
  <si>
    <t>Amirmehdi</t>
  </si>
  <si>
    <t>Dress Circle /  E 31-33</t>
  </si>
  <si>
    <t>amsharifzad@gmail.com</t>
  </si>
  <si>
    <t xml:space="preserve">350 Alabama St. </t>
  </si>
  <si>
    <t>Apt 10</t>
  </si>
  <si>
    <t>Shiralian</t>
  </si>
  <si>
    <t>Orchestra /  F 8-12</t>
  </si>
  <si>
    <t>Shahinshiralian@gmail.com</t>
  </si>
  <si>
    <t>1601 Posen ave</t>
  </si>
  <si>
    <t>Shiraz</t>
  </si>
  <si>
    <t>Milad</t>
  </si>
  <si>
    <t>Orchestra /  S 2-4</t>
  </si>
  <si>
    <t>Miladbyshiraz@yahoo.com</t>
  </si>
  <si>
    <t xml:space="preserve">2207 Harrington Ave </t>
  </si>
  <si>
    <t>Shokraee</t>
  </si>
  <si>
    <t>Millad</t>
  </si>
  <si>
    <t>Dress Circle /  F 30-32</t>
  </si>
  <si>
    <t>mshok75@gmail.com</t>
  </si>
  <si>
    <t>Arguello Blvd</t>
  </si>
  <si>
    <t xml:space="preserve">Shooshtarian </t>
  </si>
  <si>
    <t xml:space="preserve">Sepideh </t>
  </si>
  <si>
    <t>Orchestra /  D 1-3</t>
  </si>
  <si>
    <t>sepideh.Shooshtarian@gmail.com</t>
  </si>
  <si>
    <t>2000 San Carlos ave</t>
  </si>
  <si>
    <t>Sloan</t>
  </si>
  <si>
    <t>Stacie</t>
  </si>
  <si>
    <t>Dress Circle /  B 6-8</t>
  </si>
  <si>
    <t>sloansta73@gmail.com</t>
  </si>
  <si>
    <t>7714 N Hwy 146</t>
  </si>
  <si>
    <t>Baytown</t>
  </si>
  <si>
    <t>Soleimani</t>
  </si>
  <si>
    <t>Atefeh</t>
  </si>
  <si>
    <t>Orchestra / L 106</t>
  </si>
  <si>
    <t>atisfca@gmail.com</t>
  </si>
  <si>
    <t>1388 Gough St.</t>
  </si>
  <si>
    <t>Apt 1105</t>
  </si>
  <si>
    <t>Orchestra /  H 105-106</t>
  </si>
  <si>
    <t xml:space="preserve">Soltani </t>
  </si>
  <si>
    <t xml:space="preserve">Javad </t>
  </si>
  <si>
    <t>Dress Circle /  E 23-25</t>
  </si>
  <si>
    <t>Soltani.af@yahoo.com</t>
  </si>
  <si>
    <t>1324 Kipling Ct</t>
  </si>
  <si>
    <t>Soto</t>
  </si>
  <si>
    <t>Addison</t>
  </si>
  <si>
    <t>Balcony /  L 20-22</t>
  </si>
  <si>
    <t>addisonsoto78@gmail.com</t>
  </si>
  <si>
    <t>(515) 506 4204</t>
  </si>
  <si>
    <t>1105 High Rd</t>
  </si>
  <si>
    <t>Norwalk</t>
  </si>
  <si>
    <t>IA</t>
  </si>
  <si>
    <t>Stellrecht</t>
  </si>
  <si>
    <t>KARL</t>
  </si>
  <si>
    <t>Orchestra / U 102</t>
  </si>
  <si>
    <t>kstellrecht@gmail.com</t>
  </si>
  <si>
    <t>6509 Manhatten Court</t>
  </si>
  <si>
    <t>Stephens</t>
  </si>
  <si>
    <t>Bennie</t>
  </si>
  <si>
    <t>Orchestra /  G 12-14</t>
  </si>
  <si>
    <t>bennieand.thejets59@gmail.com</t>
  </si>
  <si>
    <t>(386) 327 2500</t>
  </si>
  <si>
    <t>320 S Spring Garden Ave - Unit B</t>
  </si>
  <si>
    <t>Deland</t>
  </si>
  <si>
    <t>Tabrizi</t>
  </si>
  <si>
    <t>Reza.tabrizi@gmail.com</t>
  </si>
  <si>
    <t>Dress Circle /  A 11-13</t>
  </si>
  <si>
    <t>916-203-5122</t>
  </si>
  <si>
    <t>534 Utah Street</t>
  </si>
  <si>
    <t>Margaret</t>
  </si>
  <si>
    <t>Orchestra /  U 105-106</t>
  </si>
  <si>
    <t>ginger893@comcast.net</t>
  </si>
  <si>
    <t>270 hillsdale ave</t>
  </si>
  <si>
    <t xml:space="preserve">Taghvaei </t>
  </si>
  <si>
    <t>Orchestra /  E 105-106</t>
  </si>
  <si>
    <t>laleht1@yahoo.com</t>
  </si>
  <si>
    <t>6198 Lakeview Cir</t>
  </si>
  <si>
    <t>Taghvaei</t>
  </si>
  <si>
    <t>Balcony / L 28</t>
  </si>
  <si>
    <t>Talebian</t>
  </si>
  <si>
    <t>Soroush</t>
  </si>
  <si>
    <t>Dress Circle /  B 15-17</t>
  </si>
  <si>
    <t>Soroush68@yahoo.com</t>
  </si>
  <si>
    <t>440 Camino Sobrante</t>
  </si>
  <si>
    <t>Tamraz</t>
  </si>
  <si>
    <t>Tatyana</t>
  </si>
  <si>
    <t>Orchestra /  R 5-7</t>
  </si>
  <si>
    <t>Tatyana.ornin@gmail.com</t>
  </si>
  <si>
    <t>3103 Taraval St</t>
  </si>
  <si>
    <t>Tavasoli</t>
  </si>
  <si>
    <t>Homayoun</t>
  </si>
  <si>
    <t>Orchestra /  S 107-108</t>
  </si>
  <si>
    <t>homayoon_tav@yahoo.com</t>
  </si>
  <si>
    <t>Stokes</t>
  </si>
  <si>
    <t>Orchestra /  T 107-108</t>
  </si>
  <si>
    <t>Tebianian</t>
  </si>
  <si>
    <t>Hamed</t>
  </si>
  <si>
    <t>Orchestra /  G 106-109</t>
  </si>
  <si>
    <t>rez_zeinali@yahoo.com</t>
  </si>
  <si>
    <t>Unit 308, 877 S Winchester Blvd</t>
  </si>
  <si>
    <t>tehrani</t>
  </si>
  <si>
    <t>giso</t>
  </si>
  <si>
    <t>Orchestra /  F 107-108</t>
  </si>
  <si>
    <t>gistehrani@aol.com</t>
  </si>
  <si>
    <t>771 Antiquity Dr</t>
  </si>
  <si>
    <t xml:space="preserve">Fairfield </t>
  </si>
  <si>
    <t>Torabi</t>
  </si>
  <si>
    <t>Arezoo</t>
  </si>
  <si>
    <t>Orchestra /  P 101-102</t>
  </si>
  <si>
    <t>arezutorabi@yahoo.com</t>
  </si>
  <si>
    <t>2226 Divisadero Street</t>
  </si>
  <si>
    <t>Apartment 1</t>
  </si>
  <si>
    <t>Ulrich</t>
  </si>
  <si>
    <t>Jeff</t>
  </si>
  <si>
    <t>Dress Circle /  A 7-9</t>
  </si>
  <si>
    <t>jeffrey.n.ulrich@gmail.com</t>
  </si>
  <si>
    <t>408-439-9992</t>
  </si>
  <si>
    <t>35584 Linda Drive</t>
  </si>
  <si>
    <t>Vahdat</t>
  </si>
  <si>
    <t>Marzieh</t>
  </si>
  <si>
    <t>Orchestra / K 114</t>
  </si>
  <si>
    <t>Vanaazinterior@gmail.com</t>
  </si>
  <si>
    <t>1437 Marchbanks drive 5</t>
  </si>
  <si>
    <t>Vakili</t>
  </si>
  <si>
    <t>Valla</t>
  </si>
  <si>
    <t>Balcony /  J 29-31</t>
  </si>
  <si>
    <t>valla@mac.com</t>
  </si>
  <si>
    <t>69 Windy Creek Way</t>
  </si>
  <si>
    <t>Vala</t>
  </si>
  <si>
    <t>Ayin</t>
  </si>
  <si>
    <t>Orchestra /  R 103-104</t>
  </si>
  <si>
    <t>aiynmv@gmail.com</t>
  </si>
  <si>
    <t>30 Mariani Ct</t>
  </si>
  <si>
    <t>Vossoughi</t>
  </si>
  <si>
    <t>Behrouz</t>
  </si>
  <si>
    <t>Orchestra /  AA 109-113</t>
  </si>
  <si>
    <t>Walls</t>
  </si>
  <si>
    <t>Wyatt</t>
  </si>
  <si>
    <t>Dress Circle /  B 10-12</t>
  </si>
  <si>
    <t>wywalls81@gmail.com</t>
  </si>
  <si>
    <t>240 S Sunnyside Ave</t>
  </si>
  <si>
    <t>Sequim</t>
  </si>
  <si>
    <t>Yadegar</t>
  </si>
  <si>
    <t>Jahanshah</t>
  </si>
  <si>
    <t>Orchestra /  L 8-10</t>
  </si>
  <si>
    <t>yadegar@aol.com</t>
  </si>
  <si>
    <t>275 Post St. 600</t>
  </si>
  <si>
    <t>Yadigar</t>
  </si>
  <si>
    <t>Dress Circle /  B 35-37</t>
  </si>
  <si>
    <t>Johnson.yadigar@yahoo.com</t>
  </si>
  <si>
    <t>1890 Asbury ct</t>
  </si>
  <si>
    <t>Turlock</t>
  </si>
  <si>
    <t>Yahid</t>
  </si>
  <si>
    <t>Lida</t>
  </si>
  <si>
    <t>Dress Circle /  E 30-36</t>
  </si>
  <si>
    <t>yahidlida@gmail.com</t>
  </si>
  <si>
    <t>29 Monterey dr</t>
  </si>
  <si>
    <t xml:space="preserve">Tiburon </t>
  </si>
  <si>
    <t>Yazdi</t>
  </si>
  <si>
    <t>Yasamin</t>
  </si>
  <si>
    <t>Orchestra /  F 109-112</t>
  </si>
  <si>
    <t>yazdi.yasamin@gmail.com</t>
  </si>
  <si>
    <t>10807 Linda Vista Drive</t>
  </si>
  <si>
    <t>Yousefi</t>
  </si>
  <si>
    <t>Mina</t>
  </si>
  <si>
    <t>Orchestra /  M 101-103</t>
  </si>
  <si>
    <t>yousefi.minaa@gmail.com</t>
  </si>
  <si>
    <t>19400 Sorenson Ave</t>
  </si>
  <si>
    <t>Apt 114</t>
  </si>
  <si>
    <t>Zaferani</t>
  </si>
  <si>
    <t>Aryan</t>
  </si>
  <si>
    <t>Balcony /  J 2-6</t>
  </si>
  <si>
    <t>aryanzaferani@gmail.com</t>
  </si>
  <si>
    <t>165 Mallorca Way</t>
  </si>
  <si>
    <t>Suite 106</t>
  </si>
  <si>
    <t>Zaman</t>
  </si>
  <si>
    <t>Orchestra /  D 2-8</t>
  </si>
  <si>
    <t>Zaman.azzie@gmail.com</t>
  </si>
  <si>
    <t>11800 Veterans PKW,Unit 1906</t>
  </si>
  <si>
    <t>Zamani</t>
  </si>
  <si>
    <t>Payam</t>
  </si>
  <si>
    <t>Orchestra /  A 103-104</t>
  </si>
  <si>
    <t>payamea@oneplanetgroup.com</t>
  </si>
  <si>
    <t>1064 War Bonnet Way</t>
  </si>
  <si>
    <t>Incline Village</t>
  </si>
  <si>
    <t>Mehrdad</t>
  </si>
  <si>
    <t>Dress Circle /  F 2-4</t>
  </si>
  <si>
    <t>zamaniali97@yahoo.com</t>
  </si>
  <si>
    <t>1011 s de anza blvd</t>
  </si>
  <si>
    <t>Zamanialaei</t>
  </si>
  <si>
    <t>Dress Circle / C 1</t>
  </si>
  <si>
    <t>maryam.zamanialaei@gmail.com</t>
  </si>
  <si>
    <t>2921 Santos Lane Apt 2126</t>
  </si>
  <si>
    <t>Zand</t>
  </si>
  <si>
    <t>Arman</t>
  </si>
  <si>
    <t>Orchestra /  K 1-3</t>
  </si>
  <si>
    <t>arman@armanzand.com</t>
  </si>
  <si>
    <t>446 Beloit Ave</t>
  </si>
  <si>
    <t>Zarechian</t>
  </si>
  <si>
    <t>Sayeh</t>
  </si>
  <si>
    <t>Dress Circle /  C 32-36</t>
  </si>
  <si>
    <t>Sayehzarechian@gmail.com</t>
  </si>
  <si>
    <t xml:space="preserve">1 Nephi Court </t>
  </si>
  <si>
    <t xml:space="preserve">Lafayette </t>
  </si>
  <si>
    <t>Zareian</t>
  </si>
  <si>
    <t>Amin</t>
  </si>
  <si>
    <t>Balcony / L 25</t>
  </si>
  <si>
    <t>amin.zareian.j@gmail.com</t>
  </si>
  <si>
    <t>1024 Crestview</t>
  </si>
  <si>
    <t>Millbrae</t>
  </si>
  <si>
    <t>Balcony /  L 24-26</t>
  </si>
  <si>
    <t>zereh</t>
  </si>
  <si>
    <t>Anosha</t>
  </si>
  <si>
    <t>Orchestra /  R 2-8</t>
  </si>
  <si>
    <t>Azereh@gmail.com</t>
  </si>
  <si>
    <t>+1 510-684-06233</t>
  </si>
  <si>
    <t>731 Santa Barbara rd.</t>
  </si>
  <si>
    <t>Zeynaloo</t>
  </si>
  <si>
    <t>Elnaz</t>
  </si>
  <si>
    <t>Orchestra /  K 9-11</t>
  </si>
  <si>
    <t>elnazze@icloud.com</t>
  </si>
  <si>
    <t>1903 Ascot dr</t>
  </si>
  <si>
    <t>Moraga</t>
  </si>
  <si>
    <t>Zohuri</t>
  </si>
  <si>
    <t>Natalie</t>
  </si>
  <si>
    <t>Balcony /  K 1-3</t>
  </si>
  <si>
    <t>natalie.zohuri@gmail.com</t>
  </si>
  <si>
    <t>2066 Potomac 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</si>
</sst>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 vertical="top"/>
    </xf>
    <xf numFmtId="8" fontId="0" fillId="0" borderId="0" xfId="0" applyNumberFormat="1" applyAlignment="1">
      <alignment horizontal="left" vertical="top"/>
    </xf>
    <xf numFmtId="18" fontId="0" fillId="0" borderId="0" xfId="0" applyNumberFormat="1" applyAlignment="1">
      <alignment horizontal="left" vertical="top"/>
    </xf>
    <xf numFmtId="0" fontId="16" fillId="0" borderId="0" xfId="0" applyFon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5"/>
  <sheetViews>
    <sheetView tabSelected="1" workbookViewId="0"/>
  </sheetViews>
  <sheetFormatPr defaultRowHeight="14.25" x14ac:dyDescent="0.2"/>
  <cols>
    <col min="1" max="1" width="17.875" style="1" bestFit="1" customWidth="1"/>
    <col min="2" max="2" width="21.375" style="1" bestFit="1" customWidth="1"/>
    <col min="3" max="3" width="3.875" style="1" bestFit="1" customWidth="1"/>
    <col min="4" max="4" width="8" style="1" bestFit="1" customWidth="1"/>
    <col min="5" max="5" width="18.125" style="1" bestFit="1" customWidth="1"/>
    <col min="6" max="6" width="20.75" style="1" bestFit="1" customWidth="1"/>
    <col min="7" max="7" width="24.125" style="1" bestFit="1" customWidth="1"/>
    <col min="8" max="8" width="17.375" style="1" bestFit="1" customWidth="1"/>
    <col min="9" max="9" width="33.25" style="1" bestFit="1" customWidth="1"/>
    <col min="10" max="10" width="15.875" style="1" bestFit="1" customWidth="1"/>
    <col min="11" max="11" width="37" style="1" bestFit="1" customWidth="1"/>
    <col min="12" max="12" width="15.875" style="1" bestFit="1" customWidth="1"/>
    <col min="13" max="13" width="18.25" style="1" bestFit="1" customWidth="1"/>
    <col min="14" max="14" width="11.625" style="1" bestFit="1" customWidth="1"/>
    <col min="15" max="15" width="10.5" style="1" bestFit="1" customWidth="1"/>
    <col min="16" max="16384" width="9" style="1"/>
  </cols>
  <sheetData>
    <row r="1" spans="1:15" s="4" customFormat="1" ht="15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2">
      <c r="A2" s="1" t="s">
        <v>15</v>
      </c>
      <c r="B2" s="1" t="s">
        <v>16</v>
      </c>
      <c r="C2" s="1">
        <v>1</v>
      </c>
      <c r="D2" s="2">
        <v>65</v>
      </c>
      <c r="E2" s="1" t="s">
        <v>17</v>
      </c>
      <c r="F2" s="1" t="s">
        <v>18</v>
      </c>
      <c r="G2" s="1" t="s">
        <v>19</v>
      </c>
      <c r="H2" s="3">
        <v>0.83333333333333337</v>
      </c>
      <c r="I2" s="1" t="s">
        <v>20</v>
      </c>
      <c r="K2" s="1" t="s">
        <v>21</v>
      </c>
      <c r="M2" s="1" t="s">
        <v>22</v>
      </c>
      <c r="N2" s="1" t="s">
        <v>23</v>
      </c>
      <c r="O2" s="1" t="str">
        <f>"95242"</f>
        <v>95242</v>
      </c>
    </row>
    <row r="3" spans="1:15" x14ac:dyDescent="0.2">
      <c r="A3" s="1" t="s">
        <v>15</v>
      </c>
      <c r="B3" s="1" t="s">
        <v>16</v>
      </c>
      <c r="C3" s="1">
        <v>1</v>
      </c>
      <c r="D3" s="2">
        <v>65</v>
      </c>
      <c r="E3" s="1" t="s">
        <v>17</v>
      </c>
      <c r="F3" s="1" t="s">
        <v>24</v>
      </c>
      <c r="G3" s="1" t="s">
        <v>19</v>
      </c>
      <c r="H3" s="3">
        <v>0.83333333333333337</v>
      </c>
      <c r="I3" s="1" t="s">
        <v>20</v>
      </c>
      <c r="K3" s="1" t="s">
        <v>21</v>
      </c>
      <c r="M3" s="1" t="s">
        <v>22</v>
      </c>
      <c r="N3" s="1" t="s">
        <v>23</v>
      </c>
      <c r="O3" s="1" t="str">
        <f>"95242"</f>
        <v>95242</v>
      </c>
    </row>
    <row r="4" spans="1:15" x14ac:dyDescent="0.2">
      <c r="A4" s="1" t="s">
        <v>25</v>
      </c>
      <c r="B4" s="1" t="s">
        <v>26</v>
      </c>
      <c r="C4" s="1">
        <v>2</v>
      </c>
      <c r="D4" s="2">
        <v>0</v>
      </c>
      <c r="E4" s="1" t="s">
        <v>27</v>
      </c>
      <c r="F4" s="1" t="s">
        <v>28</v>
      </c>
      <c r="G4" s="1" t="s">
        <v>19</v>
      </c>
      <c r="H4" s="3">
        <v>0.83333333333333337</v>
      </c>
      <c r="I4" s="1" t="s">
        <v>29</v>
      </c>
      <c r="J4" s="1">
        <v>7777777</v>
      </c>
      <c r="K4" s="1" t="s">
        <v>30</v>
      </c>
      <c r="M4" s="1" t="s">
        <v>31</v>
      </c>
      <c r="O4" s="1" t="str">
        <f>"55555"</f>
        <v>55555</v>
      </c>
    </row>
    <row r="5" spans="1:15" x14ac:dyDescent="0.2">
      <c r="A5" s="1" t="s">
        <v>25</v>
      </c>
      <c r="B5" s="1" t="s">
        <v>26</v>
      </c>
      <c r="C5" s="1">
        <v>4</v>
      </c>
      <c r="D5" s="2">
        <v>110</v>
      </c>
      <c r="E5" s="1" t="s">
        <v>17</v>
      </c>
      <c r="F5" s="1" t="s">
        <v>32</v>
      </c>
      <c r="G5" s="1" t="s">
        <v>19</v>
      </c>
      <c r="H5" s="3">
        <v>0.83333333333333337</v>
      </c>
      <c r="I5" s="1" t="s">
        <v>29</v>
      </c>
      <c r="J5" s="1">
        <v>7777777</v>
      </c>
      <c r="K5" s="1" t="s">
        <v>30</v>
      </c>
      <c r="M5" s="1" t="s">
        <v>31</v>
      </c>
      <c r="O5" s="1" t="str">
        <f>"55555"</f>
        <v>55555</v>
      </c>
    </row>
    <row r="6" spans="1:15" x14ac:dyDescent="0.2">
      <c r="A6" s="1" t="s">
        <v>25</v>
      </c>
      <c r="B6" s="1" t="s">
        <v>26</v>
      </c>
      <c r="C6" s="1">
        <v>3</v>
      </c>
      <c r="D6" s="2">
        <v>110</v>
      </c>
      <c r="E6" s="1" t="s">
        <v>17</v>
      </c>
      <c r="F6" s="1" t="s">
        <v>33</v>
      </c>
      <c r="G6" s="1" t="s">
        <v>19</v>
      </c>
      <c r="H6" s="3">
        <v>0.83333333333333337</v>
      </c>
      <c r="I6" s="1" t="s">
        <v>29</v>
      </c>
      <c r="J6" s="1">
        <v>7777777</v>
      </c>
      <c r="K6" s="1" t="s">
        <v>30</v>
      </c>
      <c r="M6" s="1" t="s">
        <v>31</v>
      </c>
      <c r="O6" s="1" t="str">
        <f>"55555"</f>
        <v>55555</v>
      </c>
    </row>
    <row r="7" spans="1:15" x14ac:dyDescent="0.2">
      <c r="A7" s="1" t="s">
        <v>34</v>
      </c>
      <c r="B7" s="1" t="s">
        <v>35</v>
      </c>
      <c r="C7" s="1">
        <v>2</v>
      </c>
      <c r="D7" s="2">
        <v>65</v>
      </c>
      <c r="E7" s="1" t="s">
        <v>17</v>
      </c>
      <c r="F7" s="1" t="s">
        <v>36</v>
      </c>
      <c r="G7" s="1" t="s">
        <v>19</v>
      </c>
      <c r="H7" s="3">
        <v>0.83333333333333337</v>
      </c>
      <c r="I7" s="1" t="s">
        <v>37</v>
      </c>
      <c r="K7" s="1" t="s">
        <v>38</v>
      </c>
      <c r="M7" s="1" t="s">
        <v>39</v>
      </c>
      <c r="N7" s="1" t="s">
        <v>23</v>
      </c>
      <c r="O7" s="1" t="str">
        <f>"94568"</f>
        <v>94568</v>
      </c>
    </row>
    <row r="8" spans="1:15" x14ac:dyDescent="0.2">
      <c r="A8" s="1" t="s">
        <v>40</v>
      </c>
      <c r="B8" s="1" t="s">
        <v>41</v>
      </c>
      <c r="C8" s="1">
        <v>2</v>
      </c>
      <c r="D8" s="2">
        <v>65</v>
      </c>
      <c r="E8" s="1" t="s">
        <v>17</v>
      </c>
      <c r="F8" s="1" t="s">
        <v>42</v>
      </c>
      <c r="G8" s="1" t="s">
        <v>19</v>
      </c>
      <c r="H8" s="3">
        <v>0.83333333333333337</v>
      </c>
      <c r="I8" s="1" t="s">
        <v>43</v>
      </c>
      <c r="K8" s="1" t="s">
        <v>44</v>
      </c>
      <c r="M8" s="1" t="s">
        <v>45</v>
      </c>
      <c r="N8" s="1" t="s">
        <v>23</v>
      </c>
      <c r="O8" s="1" t="str">
        <f>"94070"</f>
        <v>94070</v>
      </c>
    </row>
    <row r="9" spans="1:15" x14ac:dyDescent="0.2">
      <c r="A9" s="1" t="s">
        <v>46</v>
      </c>
      <c r="B9" s="1" t="s">
        <v>47</v>
      </c>
      <c r="C9" s="1">
        <v>2</v>
      </c>
      <c r="D9" s="2">
        <v>50</v>
      </c>
      <c r="E9" s="1" t="s">
        <v>17</v>
      </c>
      <c r="F9" s="1" t="s">
        <v>48</v>
      </c>
      <c r="G9" s="1" t="s">
        <v>19</v>
      </c>
      <c r="H9" s="3">
        <v>0.83333333333333337</v>
      </c>
      <c r="I9" s="1" t="s">
        <v>49</v>
      </c>
      <c r="K9" s="1" t="s">
        <v>50</v>
      </c>
      <c r="M9" s="1" t="s">
        <v>51</v>
      </c>
      <c r="N9" s="1" t="s">
        <v>23</v>
      </c>
      <c r="O9" s="1" t="str">
        <f>"94105"</f>
        <v>94105</v>
      </c>
    </row>
    <row r="10" spans="1:15" x14ac:dyDescent="0.2">
      <c r="A10" s="1" t="s">
        <v>52</v>
      </c>
      <c r="B10" s="1" t="s">
        <v>53</v>
      </c>
      <c r="C10" s="1">
        <v>2</v>
      </c>
      <c r="D10" s="2">
        <v>35</v>
      </c>
      <c r="E10" s="1" t="s">
        <v>17</v>
      </c>
      <c r="F10" s="1" t="s">
        <v>54</v>
      </c>
      <c r="G10" s="1" t="s">
        <v>19</v>
      </c>
      <c r="H10" s="3">
        <v>0.83333333333333337</v>
      </c>
      <c r="I10" s="1" t="s">
        <v>55</v>
      </c>
      <c r="J10" s="1">
        <v>9496898658</v>
      </c>
      <c r="K10" s="1" t="s">
        <v>56</v>
      </c>
      <c r="M10" s="1" t="s">
        <v>57</v>
      </c>
      <c r="N10" s="1" t="s">
        <v>23</v>
      </c>
      <c r="O10" s="1" t="str">
        <f>"92660"</f>
        <v>92660</v>
      </c>
    </row>
    <row r="11" spans="1:15" x14ac:dyDescent="0.2">
      <c r="A11" s="1" t="s">
        <v>58</v>
      </c>
      <c r="B11" s="1" t="s">
        <v>59</v>
      </c>
      <c r="C11" s="1">
        <v>1</v>
      </c>
      <c r="D11" s="2">
        <v>65</v>
      </c>
      <c r="E11" s="1" t="s">
        <v>17</v>
      </c>
      <c r="F11" s="1" t="s">
        <v>60</v>
      </c>
      <c r="G11" s="1" t="s">
        <v>19</v>
      </c>
      <c r="H11" s="3">
        <v>0.83333333333333337</v>
      </c>
      <c r="I11" s="1" t="s">
        <v>61</v>
      </c>
      <c r="K11" s="1" t="s">
        <v>62</v>
      </c>
      <c r="M11" s="1" t="s">
        <v>63</v>
      </c>
      <c r="N11" s="1" t="s">
        <v>23</v>
      </c>
      <c r="O11" s="1" t="str">
        <f>"95687"</f>
        <v>95687</v>
      </c>
    </row>
    <row r="12" spans="1:15" x14ac:dyDescent="0.2">
      <c r="A12" s="1" t="s">
        <v>64</v>
      </c>
      <c r="B12" s="1" t="s">
        <v>65</v>
      </c>
      <c r="C12" s="1">
        <v>2</v>
      </c>
      <c r="D12" s="2">
        <v>50</v>
      </c>
      <c r="E12" s="1" t="s">
        <v>17</v>
      </c>
      <c r="F12" s="1" t="s">
        <v>66</v>
      </c>
      <c r="G12" s="1" t="s">
        <v>19</v>
      </c>
      <c r="H12" s="3">
        <v>0.83333333333333337</v>
      </c>
      <c r="I12" s="1" t="s">
        <v>67</v>
      </c>
      <c r="K12" s="1" t="s">
        <v>68</v>
      </c>
      <c r="M12" s="1" t="s">
        <v>69</v>
      </c>
      <c r="N12" s="1" t="s">
        <v>23</v>
      </c>
      <c r="O12" s="1" t="str">
        <f>"94523"</f>
        <v>94523</v>
      </c>
    </row>
    <row r="13" spans="1:15" x14ac:dyDescent="0.2">
      <c r="A13" s="1" t="s">
        <v>70</v>
      </c>
      <c r="B13" s="1" t="s">
        <v>71</v>
      </c>
      <c r="C13" s="1">
        <v>2</v>
      </c>
      <c r="D13" s="2">
        <v>65</v>
      </c>
      <c r="E13" s="1" t="s">
        <v>17</v>
      </c>
      <c r="F13" s="1" t="s">
        <v>72</v>
      </c>
      <c r="G13" s="1" t="s">
        <v>19</v>
      </c>
      <c r="H13" s="3">
        <v>0.83333333333333337</v>
      </c>
      <c r="I13" s="1" t="s">
        <v>73</v>
      </c>
      <c r="K13" s="1" t="s">
        <v>74</v>
      </c>
      <c r="M13" s="1" t="s">
        <v>75</v>
      </c>
      <c r="N13" s="1" t="s">
        <v>23</v>
      </c>
      <c r="O13" s="1" t="str">
        <f>"94118"</f>
        <v>94118</v>
      </c>
    </row>
    <row r="14" spans="1:15" x14ac:dyDescent="0.2">
      <c r="A14" s="1" t="s">
        <v>76</v>
      </c>
      <c r="B14" s="1" t="s">
        <v>77</v>
      </c>
      <c r="C14" s="1">
        <v>2</v>
      </c>
      <c r="D14" s="2">
        <v>110</v>
      </c>
      <c r="E14" s="1" t="s">
        <v>17</v>
      </c>
      <c r="F14" s="1" t="s">
        <v>78</v>
      </c>
      <c r="G14" s="1" t="s">
        <v>19</v>
      </c>
      <c r="H14" s="3">
        <v>0.83333333333333337</v>
      </c>
      <c r="I14" s="1" t="s">
        <v>79</v>
      </c>
      <c r="J14" s="1">
        <v>9254572121</v>
      </c>
      <c r="K14" s="1" t="s">
        <v>80</v>
      </c>
      <c r="M14" s="1" t="s">
        <v>81</v>
      </c>
      <c r="N14" s="1" t="s">
        <v>23</v>
      </c>
      <c r="O14" s="1" t="str">
        <f>"95624"</f>
        <v>95624</v>
      </c>
    </row>
    <row r="15" spans="1:15" x14ac:dyDescent="0.2">
      <c r="A15" s="1" t="s">
        <v>82</v>
      </c>
      <c r="B15" s="1" t="s">
        <v>83</v>
      </c>
      <c r="C15" s="1">
        <v>1</v>
      </c>
      <c r="D15" s="2">
        <v>65</v>
      </c>
      <c r="E15" s="1" t="s">
        <v>17</v>
      </c>
      <c r="F15" s="1" t="s">
        <v>84</v>
      </c>
      <c r="G15" s="1" t="s">
        <v>19</v>
      </c>
      <c r="H15" s="3">
        <v>0.83333333333333337</v>
      </c>
      <c r="I15" s="1" t="s">
        <v>85</v>
      </c>
      <c r="J15" s="1">
        <v>9195184900</v>
      </c>
      <c r="K15" s="1" t="s">
        <v>86</v>
      </c>
      <c r="M15" s="1" t="s">
        <v>87</v>
      </c>
      <c r="N15" s="1" t="s">
        <v>23</v>
      </c>
      <c r="O15" s="1" t="str">
        <f>"94805"</f>
        <v>94805</v>
      </c>
    </row>
    <row r="16" spans="1:15" x14ac:dyDescent="0.2">
      <c r="A16" s="1" t="s">
        <v>88</v>
      </c>
      <c r="B16" s="1" t="s">
        <v>89</v>
      </c>
      <c r="C16" s="1">
        <v>2</v>
      </c>
      <c r="D16" s="2">
        <v>50</v>
      </c>
      <c r="E16" s="1" t="s">
        <v>17</v>
      </c>
      <c r="F16" s="1" t="s">
        <v>90</v>
      </c>
      <c r="G16" s="1" t="s">
        <v>19</v>
      </c>
      <c r="H16" s="3">
        <v>0.83333333333333337</v>
      </c>
      <c r="I16" s="1" t="s">
        <v>91</v>
      </c>
      <c r="K16" s="1" t="s">
        <v>92</v>
      </c>
      <c r="M16" s="1" t="s">
        <v>93</v>
      </c>
      <c r="N16" s="1" t="s">
        <v>23</v>
      </c>
      <c r="O16" s="1" t="str">
        <f>"92679"</f>
        <v>92679</v>
      </c>
    </row>
    <row r="17" spans="1:15" x14ac:dyDescent="0.2">
      <c r="A17" s="1" t="s">
        <v>94</v>
      </c>
      <c r="B17" s="1" t="s">
        <v>95</v>
      </c>
      <c r="C17" s="1">
        <v>2</v>
      </c>
      <c r="D17" s="2">
        <v>75</v>
      </c>
      <c r="E17" s="1" t="s">
        <v>17</v>
      </c>
      <c r="F17" s="1" t="s">
        <v>96</v>
      </c>
      <c r="G17" s="1" t="s">
        <v>19</v>
      </c>
      <c r="H17" s="3">
        <v>0.83333333333333337</v>
      </c>
      <c r="I17" s="1" t="s">
        <v>97</v>
      </c>
      <c r="K17" s="1" t="s">
        <v>98</v>
      </c>
      <c r="L17" s="1" t="s">
        <v>99</v>
      </c>
      <c r="M17" s="1" t="s">
        <v>100</v>
      </c>
      <c r="N17" s="1" t="s">
        <v>23</v>
      </c>
      <c r="O17" s="1" t="str">
        <f>"95123"</f>
        <v>95123</v>
      </c>
    </row>
    <row r="18" spans="1:15" x14ac:dyDescent="0.2">
      <c r="A18" s="1" t="s">
        <v>101</v>
      </c>
      <c r="B18" s="1" t="s">
        <v>102</v>
      </c>
      <c r="C18" s="1">
        <v>4</v>
      </c>
      <c r="D18" s="2">
        <v>65</v>
      </c>
      <c r="E18" s="1" t="s">
        <v>17</v>
      </c>
      <c r="F18" s="1" t="s">
        <v>103</v>
      </c>
      <c r="G18" s="1" t="s">
        <v>19</v>
      </c>
      <c r="H18" s="3">
        <v>0.83333333333333337</v>
      </c>
      <c r="I18" s="1" t="s">
        <v>104</v>
      </c>
      <c r="K18" s="1" t="s">
        <v>105</v>
      </c>
      <c r="M18" s="1" t="s">
        <v>106</v>
      </c>
      <c r="N18" s="1" t="s">
        <v>23</v>
      </c>
      <c r="O18" s="1" t="str">
        <f>"95070"</f>
        <v>95070</v>
      </c>
    </row>
    <row r="19" spans="1:15" x14ac:dyDescent="0.2">
      <c r="A19" s="1" t="s">
        <v>107</v>
      </c>
      <c r="B19" s="1" t="s">
        <v>108</v>
      </c>
      <c r="C19" s="1">
        <v>1</v>
      </c>
      <c r="D19" s="2">
        <v>65</v>
      </c>
      <c r="E19" s="1" t="s">
        <v>17</v>
      </c>
      <c r="F19" s="1" t="s">
        <v>109</v>
      </c>
      <c r="G19" s="1" t="s">
        <v>19</v>
      </c>
      <c r="H19" s="3">
        <v>0.83333333333333337</v>
      </c>
      <c r="I19" s="1" t="s">
        <v>110</v>
      </c>
      <c r="J19" s="1">
        <v>5105893119</v>
      </c>
      <c r="K19" s="1" t="s">
        <v>111</v>
      </c>
      <c r="M19" s="1" t="s">
        <v>112</v>
      </c>
      <c r="N19" s="1" t="s">
        <v>23</v>
      </c>
      <c r="O19" s="1" t="str">
        <f>"94560"</f>
        <v>94560</v>
      </c>
    </row>
    <row r="20" spans="1:15" x14ac:dyDescent="0.2">
      <c r="A20" s="1" t="s">
        <v>113</v>
      </c>
      <c r="B20" s="1" t="s">
        <v>114</v>
      </c>
      <c r="C20" s="1">
        <v>2</v>
      </c>
      <c r="D20" s="2">
        <v>65</v>
      </c>
      <c r="E20" s="1" t="s">
        <v>17</v>
      </c>
      <c r="F20" s="1" t="s">
        <v>115</v>
      </c>
      <c r="G20" s="1" t="s">
        <v>19</v>
      </c>
      <c r="H20" s="3">
        <v>0.83333333333333337</v>
      </c>
      <c r="I20" s="1" t="s">
        <v>116</v>
      </c>
      <c r="K20" s="1" t="s">
        <v>117</v>
      </c>
      <c r="M20" s="1" t="s">
        <v>100</v>
      </c>
      <c r="N20" s="1" t="s">
        <v>23</v>
      </c>
      <c r="O20" s="1" t="str">
        <f>"95125"</f>
        <v>95125</v>
      </c>
    </row>
    <row r="21" spans="1:15" x14ac:dyDescent="0.2">
      <c r="A21" s="1" t="s">
        <v>118</v>
      </c>
      <c r="B21" s="1" t="s">
        <v>119</v>
      </c>
      <c r="C21" s="1">
        <v>3</v>
      </c>
      <c r="D21" s="2">
        <v>35</v>
      </c>
      <c r="E21" s="1" t="s">
        <v>17</v>
      </c>
      <c r="F21" s="1" t="s">
        <v>120</v>
      </c>
      <c r="G21" s="1" t="s">
        <v>19</v>
      </c>
      <c r="H21" s="3">
        <v>0.83333333333333337</v>
      </c>
      <c r="I21" s="1" t="s">
        <v>121</v>
      </c>
      <c r="K21" s="1" t="s">
        <v>122</v>
      </c>
      <c r="M21" s="1" t="s">
        <v>123</v>
      </c>
      <c r="N21" s="1" t="s">
        <v>23</v>
      </c>
      <c r="O21" s="1" t="str">
        <f>"94597"</f>
        <v>94597</v>
      </c>
    </row>
    <row r="22" spans="1:15" x14ac:dyDescent="0.2">
      <c r="A22" s="1" t="s">
        <v>118</v>
      </c>
      <c r="B22" s="1" t="s">
        <v>119</v>
      </c>
      <c r="C22" s="1">
        <v>3</v>
      </c>
      <c r="D22" s="2">
        <v>35</v>
      </c>
      <c r="E22" s="1" t="s">
        <v>17</v>
      </c>
      <c r="F22" s="1" t="s">
        <v>124</v>
      </c>
      <c r="G22" s="1" t="s">
        <v>19</v>
      </c>
      <c r="H22" s="3">
        <v>0.83333333333333337</v>
      </c>
      <c r="I22" s="1" t="s">
        <v>121</v>
      </c>
      <c r="K22" s="1" t="s">
        <v>122</v>
      </c>
      <c r="M22" s="1" t="s">
        <v>123</v>
      </c>
      <c r="N22" s="1" t="s">
        <v>23</v>
      </c>
      <c r="O22" s="1" t="str">
        <f>"94597"</f>
        <v>94597</v>
      </c>
    </row>
    <row r="23" spans="1:15" x14ac:dyDescent="0.2">
      <c r="A23" s="1" t="s">
        <v>125</v>
      </c>
      <c r="B23" s="1" t="s">
        <v>108</v>
      </c>
      <c r="C23" s="1">
        <v>7</v>
      </c>
      <c r="D23" s="2">
        <v>65</v>
      </c>
      <c r="E23" s="1" t="s">
        <v>17</v>
      </c>
      <c r="F23" s="1" t="s">
        <v>126</v>
      </c>
      <c r="G23" s="1" t="s">
        <v>19</v>
      </c>
      <c r="H23" s="3">
        <v>0.83333333333333337</v>
      </c>
      <c r="I23" s="1" t="s">
        <v>127</v>
      </c>
      <c r="J23" s="1">
        <v>4084102675</v>
      </c>
      <c r="K23" s="1" t="s">
        <v>128</v>
      </c>
      <c r="M23" s="1" t="s">
        <v>100</v>
      </c>
      <c r="N23" s="1" t="s">
        <v>23</v>
      </c>
      <c r="O23" s="1" t="str">
        <f>"95120"</f>
        <v>95120</v>
      </c>
    </row>
    <row r="24" spans="1:15" x14ac:dyDescent="0.2">
      <c r="A24" s="1" t="s">
        <v>129</v>
      </c>
      <c r="B24" s="1" t="s">
        <v>130</v>
      </c>
      <c r="C24" s="1">
        <v>1</v>
      </c>
      <c r="D24" s="2">
        <v>75</v>
      </c>
      <c r="E24" s="1" t="s">
        <v>17</v>
      </c>
      <c r="F24" s="1" t="s">
        <v>131</v>
      </c>
      <c r="G24" s="1" t="s">
        <v>19</v>
      </c>
      <c r="H24" s="3">
        <v>0.83333333333333337</v>
      </c>
      <c r="I24" s="1" t="s">
        <v>132</v>
      </c>
      <c r="K24" s="1" t="s">
        <v>133</v>
      </c>
      <c r="M24" s="1" t="s">
        <v>134</v>
      </c>
      <c r="N24" s="1" t="s">
        <v>23</v>
      </c>
      <c r="O24" s="1" t="str">
        <f>"95742"</f>
        <v>95742</v>
      </c>
    </row>
    <row r="25" spans="1:15" x14ac:dyDescent="0.2">
      <c r="A25" s="1" t="s">
        <v>135</v>
      </c>
      <c r="B25" s="1" t="s">
        <v>136</v>
      </c>
      <c r="C25" s="1">
        <v>2</v>
      </c>
      <c r="D25" s="2">
        <v>35</v>
      </c>
      <c r="E25" s="1" t="s">
        <v>17</v>
      </c>
      <c r="F25" s="1" t="s">
        <v>137</v>
      </c>
      <c r="G25" s="1" t="s">
        <v>19</v>
      </c>
      <c r="H25" s="3">
        <v>0.83333333333333337</v>
      </c>
      <c r="I25" s="1" t="s">
        <v>138</v>
      </c>
      <c r="K25" s="1" t="s">
        <v>139</v>
      </c>
      <c r="M25" s="1" t="s">
        <v>140</v>
      </c>
      <c r="N25" s="1" t="s">
        <v>23</v>
      </c>
      <c r="O25" s="1" t="str">
        <f>"94519"</f>
        <v>94519</v>
      </c>
    </row>
    <row r="26" spans="1:15" x14ac:dyDescent="0.2">
      <c r="A26" s="1" t="s">
        <v>141</v>
      </c>
      <c r="B26" s="1" t="s">
        <v>142</v>
      </c>
      <c r="C26" s="1">
        <v>3</v>
      </c>
      <c r="D26" s="2">
        <v>75</v>
      </c>
      <c r="E26" s="1" t="s">
        <v>17</v>
      </c>
      <c r="F26" s="1" t="s">
        <v>143</v>
      </c>
      <c r="G26" s="1" t="s">
        <v>19</v>
      </c>
      <c r="H26" s="3">
        <v>0.83333333333333337</v>
      </c>
      <c r="I26" s="1" t="s">
        <v>144</v>
      </c>
      <c r="J26" s="1">
        <v>4088885088</v>
      </c>
      <c r="K26" s="1" t="s">
        <v>145</v>
      </c>
      <c r="M26" s="1" t="s">
        <v>146</v>
      </c>
      <c r="N26" s="1" t="s">
        <v>23</v>
      </c>
      <c r="O26" s="1" t="str">
        <f>"94022"</f>
        <v>94022</v>
      </c>
    </row>
    <row r="27" spans="1:15" x14ac:dyDescent="0.2">
      <c r="A27" s="1" t="s">
        <v>147</v>
      </c>
      <c r="B27" s="1" t="s">
        <v>148</v>
      </c>
      <c r="C27" s="1">
        <v>3</v>
      </c>
      <c r="D27" s="2">
        <v>50</v>
      </c>
      <c r="E27" s="1" t="s">
        <v>17</v>
      </c>
      <c r="F27" s="1" t="s">
        <v>149</v>
      </c>
      <c r="G27" s="1" t="s">
        <v>19</v>
      </c>
      <c r="H27" s="3">
        <v>0.83333333333333337</v>
      </c>
      <c r="I27" s="1" t="s">
        <v>150</v>
      </c>
      <c r="K27" s="1" t="s">
        <v>151</v>
      </c>
      <c r="M27" s="1" t="s">
        <v>152</v>
      </c>
      <c r="N27" s="1" t="s">
        <v>23</v>
      </c>
      <c r="O27" s="1" t="str">
        <f>"94904-1243"</f>
        <v>94904-1243</v>
      </c>
    </row>
    <row r="28" spans="1:15" x14ac:dyDescent="0.2">
      <c r="A28" s="1" t="s">
        <v>153</v>
      </c>
      <c r="B28" s="1" t="s">
        <v>154</v>
      </c>
      <c r="C28" s="1">
        <v>4</v>
      </c>
      <c r="D28" s="2">
        <v>50</v>
      </c>
      <c r="E28" s="1" t="s">
        <v>17</v>
      </c>
      <c r="F28" s="1" t="s">
        <v>155</v>
      </c>
      <c r="G28" s="1" t="s">
        <v>19</v>
      </c>
      <c r="H28" s="3">
        <v>0.83333333333333337</v>
      </c>
      <c r="I28" s="1" t="s">
        <v>156</v>
      </c>
      <c r="J28" s="1">
        <v>3472760790</v>
      </c>
      <c r="K28" s="1" t="s">
        <v>157</v>
      </c>
      <c r="L28" s="1" t="s">
        <v>158</v>
      </c>
      <c r="M28" s="1" t="s">
        <v>51</v>
      </c>
      <c r="N28" s="1" t="s">
        <v>23</v>
      </c>
      <c r="O28" s="1" t="str">
        <f>"94115"</f>
        <v>94115</v>
      </c>
    </row>
    <row r="29" spans="1:15" x14ac:dyDescent="0.2">
      <c r="A29" s="1" t="s">
        <v>159</v>
      </c>
      <c r="B29" s="1" t="s">
        <v>160</v>
      </c>
      <c r="C29" s="1">
        <v>2</v>
      </c>
      <c r="D29" s="2">
        <v>65</v>
      </c>
      <c r="E29" s="1" t="s">
        <v>17</v>
      </c>
      <c r="F29" s="1" t="s">
        <v>161</v>
      </c>
      <c r="G29" s="1" t="s">
        <v>19</v>
      </c>
      <c r="H29" s="3">
        <v>0.83333333333333337</v>
      </c>
      <c r="I29" s="1" t="s">
        <v>162</v>
      </c>
      <c r="K29" s="1" t="s">
        <v>163</v>
      </c>
      <c r="L29" s="1" t="s">
        <v>164</v>
      </c>
      <c r="M29" s="1" t="s">
        <v>51</v>
      </c>
      <c r="N29" s="1" t="s">
        <v>23</v>
      </c>
      <c r="O29" s="1" t="str">
        <f>"94105"</f>
        <v>94105</v>
      </c>
    </row>
    <row r="30" spans="1:15" x14ac:dyDescent="0.2">
      <c r="A30" s="1" t="s">
        <v>165</v>
      </c>
      <c r="B30" s="1" t="s">
        <v>166</v>
      </c>
      <c r="C30" s="1">
        <v>2</v>
      </c>
      <c r="D30" s="2">
        <v>65</v>
      </c>
      <c r="E30" s="1" t="s">
        <v>17</v>
      </c>
      <c r="F30" s="1" t="s">
        <v>167</v>
      </c>
      <c r="G30" s="1" t="s">
        <v>19</v>
      </c>
      <c r="H30" s="3">
        <v>0.83333333333333337</v>
      </c>
      <c r="I30" s="1" t="s">
        <v>168</v>
      </c>
      <c r="K30" s="1" t="s">
        <v>169</v>
      </c>
      <c r="M30" s="1" t="s">
        <v>170</v>
      </c>
      <c r="N30" s="1" t="s">
        <v>23</v>
      </c>
      <c r="O30" s="1" t="str">
        <f>"94542"</f>
        <v>94542</v>
      </c>
    </row>
    <row r="31" spans="1:15" x14ac:dyDescent="0.2">
      <c r="A31" s="1" t="s">
        <v>171</v>
      </c>
      <c r="B31" s="1" t="s">
        <v>172</v>
      </c>
      <c r="C31" s="1">
        <v>3</v>
      </c>
      <c r="D31" s="2">
        <v>35</v>
      </c>
      <c r="E31" s="1" t="s">
        <v>17</v>
      </c>
      <c r="F31" s="1" t="s">
        <v>173</v>
      </c>
      <c r="G31" s="1" t="s">
        <v>19</v>
      </c>
      <c r="H31" s="3">
        <v>0.83333333333333337</v>
      </c>
      <c r="I31" s="1" t="s">
        <v>174</v>
      </c>
      <c r="K31" s="1" t="s">
        <v>175</v>
      </c>
      <c r="L31" s="1" t="s">
        <v>176</v>
      </c>
      <c r="M31" s="1" t="s">
        <v>177</v>
      </c>
      <c r="N31" s="1" t="s">
        <v>23</v>
      </c>
      <c r="O31" s="1" t="str">
        <f>"94596"</f>
        <v>94596</v>
      </c>
    </row>
    <row r="32" spans="1:15" x14ac:dyDescent="0.2">
      <c r="A32" s="1" t="s">
        <v>178</v>
      </c>
      <c r="B32" s="1" t="s">
        <v>179</v>
      </c>
      <c r="C32" s="1">
        <v>1</v>
      </c>
      <c r="D32" s="2">
        <v>110</v>
      </c>
      <c r="E32" s="1" t="s">
        <v>17</v>
      </c>
      <c r="F32" s="1" t="s">
        <v>180</v>
      </c>
      <c r="G32" s="1" t="s">
        <v>19</v>
      </c>
      <c r="H32" s="3">
        <v>0.83333333333333337</v>
      </c>
      <c r="I32" s="1" t="s">
        <v>181</v>
      </c>
      <c r="K32" s="1" t="s">
        <v>182</v>
      </c>
      <c r="M32" s="1" t="s">
        <v>183</v>
      </c>
      <c r="N32" s="1" t="s">
        <v>23</v>
      </c>
      <c r="O32" s="1" t="str">
        <f>"94024"</f>
        <v>94024</v>
      </c>
    </row>
    <row r="33" spans="1:15" x14ac:dyDescent="0.2">
      <c r="A33" s="1" t="s">
        <v>178</v>
      </c>
      <c r="B33" s="1" t="s">
        <v>179</v>
      </c>
      <c r="C33" s="1">
        <v>1</v>
      </c>
      <c r="D33" s="2">
        <v>110</v>
      </c>
      <c r="E33" s="1" t="s">
        <v>17</v>
      </c>
      <c r="F33" s="1" t="s">
        <v>184</v>
      </c>
      <c r="G33" s="1" t="s">
        <v>19</v>
      </c>
      <c r="H33" s="3">
        <v>0.83333333333333337</v>
      </c>
      <c r="I33" s="1" t="s">
        <v>181</v>
      </c>
      <c r="K33" s="1" t="s">
        <v>182</v>
      </c>
      <c r="M33" s="1" t="s">
        <v>183</v>
      </c>
      <c r="N33" s="1" t="s">
        <v>23</v>
      </c>
      <c r="O33" s="1" t="str">
        <f>"94024"</f>
        <v>94024</v>
      </c>
    </row>
    <row r="34" spans="1:15" x14ac:dyDescent="0.2">
      <c r="A34" s="1" t="s">
        <v>178</v>
      </c>
      <c r="B34" s="1" t="s">
        <v>179</v>
      </c>
      <c r="C34" s="1">
        <v>1</v>
      </c>
      <c r="D34" s="2">
        <v>110</v>
      </c>
      <c r="E34" s="1" t="s">
        <v>17</v>
      </c>
      <c r="F34" s="1" t="s">
        <v>185</v>
      </c>
      <c r="G34" s="1" t="s">
        <v>19</v>
      </c>
      <c r="H34" s="3">
        <v>0.83333333333333337</v>
      </c>
      <c r="I34" s="1" t="s">
        <v>181</v>
      </c>
      <c r="K34" s="1" t="s">
        <v>182</v>
      </c>
      <c r="M34" s="1" t="s">
        <v>183</v>
      </c>
      <c r="N34" s="1" t="s">
        <v>23</v>
      </c>
      <c r="O34" s="1" t="str">
        <f>"94024"</f>
        <v>94024</v>
      </c>
    </row>
    <row r="35" spans="1:15" x14ac:dyDescent="0.2">
      <c r="A35" s="1" t="s">
        <v>178</v>
      </c>
      <c r="B35" s="1" t="s">
        <v>179</v>
      </c>
      <c r="C35" s="1">
        <v>1</v>
      </c>
      <c r="D35" s="2">
        <v>110</v>
      </c>
      <c r="E35" s="1" t="s">
        <v>17</v>
      </c>
      <c r="F35" s="1" t="s">
        <v>186</v>
      </c>
      <c r="G35" s="1" t="s">
        <v>19</v>
      </c>
      <c r="H35" s="3">
        <v>0.83333333333333337</v>
      </c>
      <c r="I35" s="1" t="s">
        <v>181</v>
      </c>
      <c r="K35" s="1" t="s">
        <v>182</v>
      </c>
      <c r="M35" s="1" t="s">
        <v>183</v>
      </c>
      <c r="N35" s="1" t="s">
        <v>23</v>
      </c>
      <c r="O35" s="1" t="str">
        <f>"94024"</f>
        <v>94024</v>
      </c>
    </row>
    <row r="36" spans="1:15" x14ac:dyDescent="0.2">
      <c r="A36" s="1" t="s">
        <v>187</v>
      </c>
      <c r="B36" s="1" t="s">
        <v>188</v>
      </c>
      <c r="C36" s="1">
        <v>2</v>
      </c>
      <c r="D36" s="2">
        <v>35</v>
      </c>
      <c r="E36" s="1" t="s">
        <v>17</v>
      </c>
      <c r="F36" s="1" t="s">
        <v>189</v>
      </c>
      <c r="G36" s="1" t="s">
        <v>19</v>
      </c>
      <c r="H36" s="3">
        <v>0.83333333333333337</v>
      </c>
      <c r="I36" s="1" t="s">
        <v>190</v>
      </c>
      <c r="K36" s="1" t="s">
        <v>191</v>
      </c>
      <c r="M36" s="1" t="s">
        <v>192</v>
      </c>
      <c r="N36" s="1" t="s">
        <v>23</v>
      </c>
      <c r="O36" s="1" t="str">
        <f>"94109"</f>
        <v>94109</v>
      </c>
    </row>
    <row r="37" spans="1:15" x14ac:dyDescent="0.2">
      <c r="A37" s="1" t="s">
        <v>193</v>
      </c>
      <c r="B37" s="1" t="s">
        <v>194</v>
      </c>
      <c r="C37" s="1">
        <v>1</v>
      </c>
      <c r="D37" s="2">
        <v>50</v>
      </c>
      <c r="E37" s="1" t="s">
        <v>17</v>
      </c>
      <c r="F37" s="1" t="s">
        <v>195</v>
      </c>
      <c r="G37" s="1" t="s">
        <v>19</v>
      </c>
      <c r="H37" s="3">
        <v>0.83333333333333337</v>
      </c>
      <c r="I37" s="1" t="s">
        <v>196</v>
      </c>
      <c r="J37" s="1">
        <v>9258782489</v>
      </c>
      <c r="K37" s="1" t="s">
        <v>197</v>
      </c>
      <c r="M37" s="1" t="s">
        <v>198</v>
      </c>
      <c r="N37" s="1" t="s">
        <v>23</v>
      </c>
      <c r="O37" s="1" t="str">
        <f>"94549"</f>
        <v>94549</v>
      </c>
    </row>
    <row r="38" spans="1:15" x14ac:dyDescent="0.2">
      <c r="A38" s="1" t="s">
        <v>199</v>
      </c>
      <c r="B38" s="1" t="s">
        <v>200</v>
      </c>
      <c r="C38" s="1">
        <v>2</v>
      </c>
      <c r="D38" s="2">
        <v>0</v>
      </c>
      <c r="E38" s="1" t="s">
        <v>27</v>
      </c>
      <c r="F38" s="1" t="s">
        <v>201</v>
      </c>
      <c r="G38" s="1" t="s">
        <v>19</v>
      </c>
      <c r="H38" s="3">
        <v>0.83333333333333337</v>
      </c>
      <c r="I38" s="1" t="s">
        <v>202</v>
      </c>
      <c r="J38" s="1" t="s">
        <v>203</v>
      </c>
      <c r="K38" s="1" t="s">
        <v>204</v>
      </c>
      <c r="M38" s="1" t="s">
        <v>204</v>
      </c>
      <c r="N38" s="1" t="s">
        <v>23</v>
      </c>
      <c r="O38" s="1" t="str">
        <f>"00000"</f>
        <v>00000</v>
      </c>
    </row>
    <row r="39" spans="1:15" x14ac:dyDescent="0.2">
      <c r="A39" s="1" t="s">
        <v>205</v>
      </c>
      <c r="B39" s="1" t="s">
        <v>206</v>
      </c>
      <c r="C39" s="1">
        <v>2</v>
      </c>
      <c r="D39" s="2">
        <v>35</v>
      </c>
      <c r="E39" s="1" t="s">
        <v>17</v>
      </c>
      <c r="F39" s="1" t="s">
        <v>207</v>
      </c>
      <c r="G39" s="1" t="s">
        <v>19</v>
      </c>
      <c r="H39" s="3">
        <v>0.83333333333333337</v>
      </c>
      <c r="I39" s="1" t="s">
        <v>208</v>
      </c>
      <c r="K39" s="1" t="s">
        <v>209</v>
      </c>
      <c r="M39" s="1" t="s">
        <v>210</v>
      </c>
      <c r="N39" s="1" t="s">
        <v>23</v>
      </c>
      <c r="O39" s="1" t="str">
        <f>"94591"</f>
        <v>94591</v>
      </c>
    </row>
    <row r="40" spans="1:15" x14ac:dyDescent="0.2">
      <c r="A40" s="1" t="s">
        <v>211</v>
      </c>
      <c r="B40" s="1" t="s">
        <v>212</v>
      </c>
      <c r="C40" s="1">
        <v>4</v>
      </c>
      <c r="D40" s="2">
        <v>35</v>
      </c>
      <c r="E40" s="1" t="s">
        <v>17</v>
      </c>
      <c r="F40" s="1" t="s">
        <v>213</v>
      </c>
      <c r="G40" s="1" t="s">
        <v>19</v>
      </c>
      <c r="H40" s="3">
        <v>0.83333333333333337</v>
      </c>
      <c r="I40" s="1" t="s">
        <v>214</v>
      </c>
      <c r="K40" s="1" t="s">
        <v>215</v>
      </c>
      <c r="M40" s="1" t="s">
        <v>216</v>
      </c>
      <c r="N40" s="1" t="s">
        <v>23</v>
      </c>
      <c r="O40" s="1" t="str">
        <f>"94941"</f>
        <v>94941</v>
      </c>
    </row>
    <row r="41" spans="1:15" x14ac:dyDescent="0.2">
      <c r="A41" s="1" t="s">
        <v>217</v>
      </c>
      <c r="B41" s="1" t="s">
        <v>218</v>
      </c>
      <c r="C41" s="1">
        <v>2</v>
      </c>
      <c r="D41" s="2">
        <v>35</v>
      </c>
      <c r="E41" s="1" t="s">
        <v>17</v>
      </c>
      <c r="F41" s="1" t="s">
        <v>219</v>
      </c>
      <c r="G41" s="1" t="s">
        <v>19</v>
      </c>
      <c r="H41" s="3">
        <v>0.83333333333333337</v>
      </c>
      <c r="I41" s="1" t="s">
        <v>220</v>
      </c>
      <c r="J41" s="1">
        <v>4157709792</v>
      </c>
      <c r="K41" s="1" t="s">
        <v>221</v>
      </c>
      <c r="L41" s="1" t="s">
        <v>222</v>
      </c>
      <c r="M41" s="1" t="s">
        <v>223</v>
      </c>
      <c r="N41" s="1" t="s">
        <v>23</v>
      </c>
      <c r="O41" s="1" t="str">
        <f>"94960"</f>
        <v>94960</v>
      </c>
    </row>
    <row r="42" spans="1:15" x14ac:dyDescent="0.2">
      <c r="A42" s="1" t="s">
        <v>224</v>
      </c>
      <c r="B42" s="1" t="s">
        <v>225</v>
      </c>
      <c r="C42" s="1">
        <v>1</v>
      </c>
      <c r="D42" s="2">
        <v>35</v>
      </c>
      <c r="E42" s="1" t="s">
        <v>17</v>
      </c>
      <c r="F42" s="1" t="s">
        <v>226</v>
      </c>
      <c r="G42" s="1" t="s">
        <v>19</v>
      </c>
      <c r="H42" s="3">
        <v>0.83333333333333337</v>
      </c>
      <c r="I42" s="1" t="s">
        <v>227</v>
      </c>
      <c r="J42" s="1">
        <v>9062313174</v>
      </c>
      <c r="K42" s="1" t="s">
        <v>228</v>
      </c>
      <c r="L42" s="1" t="s">
        <v>229</v>
      </c>
      <c r="M42" s="1" t="s">
        <v>51</v>
      </c>
      <c r="N42" s="1" t="s">
        <v>23</v>
      </c>
      <c r="O42" s="1" t="str">
        <f>"94105"</f>
        <v>94105</v>
      </c>
    </row>
    <row r="43" spans="1:15" x14ac:dyDescent="0.2">
      <c r="A43" s="1" t="s">
        <v>230</v>
      </c>
      <c r="B43" s="1" t="s">
        <v>231</v>
      </c>
      <c r="C43" s="1">
        <v>2</v>
      </c>
      <c r="D43" s="2">
        <v>65</v>
      </c>
      <c r="E43" s="1" t="s">
        <v>17</v>
      </c>
      <c r="F43" s="1" t="s">
        <v>232</v>
      </c>
      <c r="G43" s="1" t="s">
        <v>19</v>
      </c>
      <c r="H43" s="3">
        <v>0.83333333333333337</v>
      </c>
      <c r="I43" s="1" t="s">
        <v>233</v>
      </c>
      <c r="K43" s="1" t="s">
        <v>234</v>
      </c>
      <c r="M43" s="1" t="s">
        <v>75</v>
      </c>
      <c r="N43" s="1" t="s">
        <v>23</v>
      </c>
      <c r="O43" s="1" t="str">
        <f>"94131"</f>
        <v>94131</v>
      </c>
    </row>
    <row r="44" spans="1:15" x14ac:dyDescent="0.2">
      <c r="A44" s="1" t="s">
        <v>235</v>
      </c>
      <c r="B44" s="1" t="s">
        <v>236</v>
      </c>
      <c r="C44" s="1">
        <v>5</v>
      </c>
      <c r="D44" s="2">
        <v>75</v>
      </c>
      <c r="E44" s="1" t="s">
        <v>17</v>
      </c>
      <c r="F44" s="1" t="s">
        <v>237</v>
      </c>
      <c r="G44" s="1" t="s">
        <v>19</v>
      </c>
      <c r="H44" s="3">
        <v>0.83333333333333337</v>
      </c>
      <c r="I44" s="1" t="s">
        <v>238</v>
      </c>
      <c r="K44" s="1" t="s">
        <v>239</v>
      </c>
      <c r="M44" s="1" t="s">
        <v>240</v>
      </c>
      <c r="N44" s="1" t="s">
        <v>23</v>
      </c>
      <c r="O44" s="1" t="str">
        <f>"94506"</f>
        <v>94506</v>
      </c>
    </row>
    <row r="45" spans="1:15" x14ac:dyDescent="0.2">
      <c r="A45" s="1" t="s">
        <v>241</v>
      </c>
      <c r="B45" s="1" t="s">
        <v>242</v>
      </c>
      <c r="C45" s="1">
        <v>2</v>
      </c>
      <c r="D45" s="2">
        <v>65</v>
      </c>
      <c r="E45" s="1" t="s">
        <v>17</v>
      </c>
      <c r="F45" s="1" t="s">
        <v>243</v>
      </c>
      <c r="G45" s="1" t="s">
        <v>19</v>
      </c>
      <c r="H45" s="3">
        <v>0.83333333333333337</v>
      </c>
      <c r="I45" s="1" t="s">
        <v>244</v>
      </c>
      <c r="K45" s="1" t="s">
        <v>245</v>
      </c>
      <c r="M45" s="1" t="s">
        <v>246</v>
      </c>
      <c r="N45" s="1" t="s">
        <v>23</v>
      </c>
      <c r="O45" s="1" t="str">
        <f>"94563"</f>
        <v>94563</v>
      </c>
    </row>
    <row r="46" spans="1:15" x14ac:dyDescent="0.2">
      <c r="A46" s="1" t="s">
        <v>247</v>
      </c>
      <c r="B46" s="1" t="s">
        <v>248</v>
      </c>
      <c r="C46" s="1">
        <v>2</v>
      </c>
      <c r="D46" s="2">
        <v>65</v>
      </c>
      <c r="E46" s="1" t="s">
        <v>17</v>
      </c>
      <c r="F46" s="1" t="s">
        <v>249</v>
      </c>
      <c r="G46" s="1" t="s">
        <v>19</v>
      </c>
      <c r="H46" s="3">
        <v>0.83333333333333337</v>
      </c>
      <c r="I46" s="1" t="s">
        <v>250</v>
      </c>
      <c r="K46" s="1" t="s">
        <v>251</v>
      </c>
      <c r="M46" s="1" t="s">
        <v>100</v>
      </c>
      <c r="N46" s="1" t="s">
        <v>23</v>
      </c>
      <c r="O46" s="1" t="str">
        <f>"95120"</f>
        <v>95120</v>
      </c>
    </row>
    <row r="47" spans="1:15" x14ac:dyDescent="0.2">
      <c r="A47" s="1" t="s">
        <v>252</v>
      </c>
      <c r="B47" s="1" t="s">
        <v>253</v>
      </c>
      <c r="C47" s="1">
        <v>2</v>
      </c>
      <c r="D47" s="2">
        <v>50</v>
      </c>
      <c r="E47" s="1" t="s">
        <v>17</v>
      </c>
      <c r="F47" s="1" t="s">
        <v>254</v>
      </c>
      <c r="G47" s="1" t="s">
        <v>19</v>
      </c>
      <c r="H47" s="3">
        <v>0.83333333333333337</v>
      </c>
      <c r="I47" s="1" t="s">
        <v>255</v>
      </c>
      <c r="K47" s="1" t="s">
        <v>256</v>
      </c>
      <c r="M47" s="1" t="s">
        <v>257</v>
      </c>
      <c r="N47" s="1" t="s">
        <v>23</v>
      </c>
      <c r="O47" s="1" t="str">
        <f>"92679"</f>
        <v>92679</v>
      </c>
    </row>
    <row r="48" spans="1:15" x14ac:dyDescent="0.2">
      <c r="A48" s="1" t="s">
        <v>252</v>
      </c>
      <c r="B48" s="1" t="s">
        <v>253</v>
      </c>
      <c r="C48" s="1">
        <v>2</v>
      </c>
      <c r="D48" s="2">
        <v>35</v>
      </c>
      <c r="E48" s="1" t="s">
        <v>17</v>
      </c>
      <c r="F48" s="1" t="s">
        <v>258</v>
      </c>
      <c r="G48" s="1" t="s">
        <v>19</v>
      </c>
      <c r="H48" s="3">
        <v>0.83333333333333337</v>
      </c>
      <c r="I48" s="1" t="s">
        <v>255</v>
      </c>
      <c r="K48" s="1" t="s">
        <v>256</v>
      </c>
      <c r="M48" s="1" t="s">
        <v>257</v>
      </c>
      <c r="N48" s="1" t="s">
        <v>23</v>
      </c>
      <c r="O48" s="1" t="str">
        <f>"92679"</f>
        <v>92679</v>
      </c>
    </row>
    <row r="49" spans="1:15" x14ac:dyDescent="0.2">
      <c r="A49" s="1" t="s">
        <v>259</v>
      </c>
      <c r="B49" s="1" t="s">
        <v>260</v>
      </c>
      <c r="C49" s="1">
        <v>2</v>
      </c>
      <c r="D49" s="2">
        <v>50</v>
      </c>
      <c r="E49" s="1" t="s">
        <v>17</v>
      </c>
      <c r="F49" s="1" t="s">
        <v>261</v>
      </c>
      <c r="G49" s="1" t="s">
        <v>19</v>
      </c>
      <c r="H49" s="3">
        <v>0.83333333333333337</v>
      </c>
      <c r="I49" s="1" t="s">
        <v>262</v>
      </c>
      <c r="K49" s="1" t="s">
        <v>263</v>
      </c>
      <c r="M49" s="1" t="s">
        <v>264</v>
      </c>
      <c r="N49" s="1" t="s">
        <v>23</v>
      </c>
      <c r="O49" s="1" t="str">
        <f>"94011"</f>
        <v>94011</v>
      </c>
    </row>
    <row r="50" spans="1:15" x14ac:dyDescent="0.2">
      <c r="A50" s="1" t="s">
        <v>265</v>
      </c>
      <c r="B50" s="1" t="s">
        <v>266</v>
      </c>
      <c r="C50" s="1">
        <v>1</v>
      </c>
      <c r="D50" s="2">
        <v>65</v>
      </c>
      <c r="E50" s="1" t="s">
        <v>17</v>
      </c>
      <c r="F50" s="1" t="s">
        <v>267</v>
      </c>
      <c r="G50" s="1" t="s">
        <v>19</v>
      </c>
      <c r="H50" s="3">
        <v>0.83333333333333337</v>
      </c>
      <c r="I50" s="1" t="s">
        <v>268</v>
      </c>
      <c r="K50" s="1" t="s">
        <v>269</v>
      </c>
      <c r="M50" s="1" t="s">
        <v>270</v>
      </c>
      <c r="N50" s="1" t="s">
        <v>23</v>
      </c>
      <c r="O50" s="1" t="str">
        <f>"94087"</f>
        <v>94087</v>
      </c>
    </row>
    <row r="51" spans="1:15" x14ac:dyDescent="0.2">
      <c r="A51" s="1" t="s">
        <v>271</v>
      </c>
      <c r="B51" s="1" t="s">
        <v>272</v>
      </c>
      <c r="C51" s="1">
        <v>2</v>
      </c>
      <c r="D51" s="2">
        <v>50</v>
      </c>
      <c r="E51" s="1" t="s">
        <v>17</v>
      </c>
      <c r="F51" s="1" t="s">
        <v>273</v>
      </c>
      <c r="G51" s="1" t="s">
        <v>19</v>
      </c>
      <c r="H51" s="3">
        <v>0.83333333333333337</v>
      </c>
      <c r="I51" s="1" t="s">
        <v>274</v>
      </c>
      <c r="J51" s="1">
        <v>5613089094</v>
      </c>
      <c r="K51" s="1" t="s">
        <v>275</v>
      </c>
      <c r="L51" s="1" t="s">
        <v>276</v>
      </c>
      <c r="M51" s="1" t="s">
        <v>51</v>
      </c>
      <c r="N51" s="1" t="s">
        <v>23</v>
      </c>
      <c r="O51" s="1" t="str">
        <f>"94133"</f>
        <v>94133</v>
      </c>
    </row>
    <row r="52" spans="1:15" x14ac:dyDescent="0.2">
      <c r="A52" s="1" t="s">
        <v>277</v>
      </c>
      <c r="B52" s="1" t="s">
        <v>278</v>
      </c>
      <c r="C52" s="1">
        <v>3</v>
      </c>
      <c r="D52" s="2">
        <v>65</v>
      </c>
      <c r="E52" s="1" t="s">
        <v>17</v>
      </c>
      <c r="F52" s="1" t="s">
        <v>279</v>
      </c>
      <c r="G52" s="1" t="s">
        <v>19</v>
      </c>
      <c r="H52" s="3">
        <v>0.83333333333333337</v>
      </c>
      <c r="I52" s="1" t="s">
        <v>280</v>
      </c>
      <c r="J52" s="1" t="s">
        <v>281</v>
      </c>
      <c r="K52" s="1" t="s">
        <v>282</v>
      </c>
      <c r="M52" s="1" t="s">
        <v>283</v>
      </c>
      <c r="N52" s="1" t="s">
        <v>23</v>
      </c>
      <c r="O52" s="1" t="str">
        <f>"92679"</f>
        <v>92679</v>
      </c>
    </row>
    <row r="53" spans="1:15" x14ac:dyDescent="0.2">
      <c r="A53" s="1" t="s">
        <v>284</v>
      </c>
      <c r="B53" s="1" t="s">
        <v>285</v>
      </c>
      <c r="C53" s="1">
        <v>1</v>
      </c>
      <c r="D53" s="2">
        <v>50</v>
      </c>
      <c r="E53" s="1" t="s">
        <v>17</v>
      </c>
      <c r="F53" s="1" t="s">
        <v>286</v>
      </c>
      <c r="G53" s="1" t="s">
        <v>19</v>
      </c>
      <c r="H53" s="3">
        <v>0.83333333333333337</v>
      </c>
      <c r="I53" s="1" t="s">
        <v>287</v>
      </c>
      <c r="K53" s="1" t="s">
        <v>288</v>
      </c>
      <c r="M53" s="1" t="s">
        <v>100</v>
      </c>
      <c r="N53" s="1" t="s">
        <v>23</v>
      </c>
      <c r="O53" s="1" t="str">
        <f>"95111"</f>
        <v>95111</v>
      </c>
    </row>
    <row r="54" spans="1:15" x14ac:dyDescent="0.2">
      <c r="A54" s="1" t="s">
        <v>284</v>
      </c>
      <c r="B54" s="1" t="s">
        <v>285</v>
      </c>
      <c r="C54" s="1">
        <v>2</v>
      </c>
      <c r="D54" s="2">
        <v>65</v>
      </c>
      <c r="E54" s="1" t="s">
        <v>17</v>
      </c>
      <c r="F54" s="1" t="s">
        <v>289</v>
      </c>
      <c r="G54" s="1" t="s">
        <v>19</v>
      </c>
      <c r="H54" s="3">
        <v>0.83333333333333337</v>
      </c>
      <c r="I54" s="1" t="s">
        <v>287</v>
      </c>
      <c r="K54" s="1" t="s">
        <v>288</v>
      </c>
      <c r="M54" s="1" t="s">
        <v>100</v>
      </c>
      <c r="N54" s="1" t="s">
        <v>23</v>
      </c>
      <c r="O54" s="1" t="str">
        <f>"95111"</f>
        <v>95111</v>
      </c>
    </row>
    <row r="55" spans="1:15" x14ac:dyDescent="0.2">
      <c r="A55" s="1" t="s">
        <v>290</v>
      </c>
      <c r="B55" s="1" t="s">
        <v>114</v>
      </c>
      <c r="C55" s="1">
        <v>6</v>
      </c>
      <c r="D55" s="2">
        <v>125</v>
      </c>
      <c r="E55" s="1" t="s">
        <v>17</v>
      </c>
      <c r="F55" s="1" t="s">
        <v>291</v>
      </c>
      <c r="G55" s="1" t="s">
        <v>19</v>
      </c>
      <c r="H55" s="3">
        <v>0.83333333333333337</v>
      </c>
      <c r="I55" s="1" t="s">
        <v>292</v>
      </c>
      <c r="K55" s="1" t="s">
        <v>293</v>
      </c>
      <c r="M55" s="1" t="s">
        <v>39</v>
      </c>
      <c r="N55" s="1" t="s">
        <v>23</v>
      </c>
      <c r="O55" s="1" t="str">
        <f>"94568"</f>
        <v>94568</v>
      </c>
    </row>
    <row r="56" spans="1:15" x14ac:dyDescent="0.2">
      <c r="A56" s="1" t="s">
        <v>294</v>
      </c>
      <c r="B56" s="1" t="s">
        <v>225</v>
      </c>
      <c r="C56" s="1">
        <v>4</v>
      </c>
      <c r="D56" s="2">
        <v>50</v>
      </c>
      <c r="E56" s="1" t="s">
        <v>17</v>
      </c>
      <c r="F56" s="1" t="s">
        <v>295</v>
      </c>
      <c r="G56" s="1" t="s">
        <v>19</v>
      </c>
      <c r="H56" s="3">
        <v>0.83333333333333337</v>
      </c>
      <c r="I56" s="1" t="s">
        <v>296</v>
      </c>
      <c r="K56" s="1" t="s">
        <v>297</v>
      </c>
      <c r="M56" s="1" t="s">
        <v>298</v>
      </c>
      <c r="N56" s="1" t="s">
        <v>23</v>
      </c>
      <c r="O56" s="1" t="str">
        <f>"94526"</f>
        <v>94526</v>
      </c>
    </row>
    <row r="57" spans="1:15" x14ac:dyDescent="0.2">
      <c r="A57" s="1" t="s">
        <v>299</v>
      </c>
      <c r="B57" s="1" t="s">
        <v>300</v>
      </c>
      <c r="C57" s="1">
        <v>1</v>
      </c>
      <c r="D57" s="2">
        <v>50</v>
      </c>
      <c r="E57" s="1" t="s">
        <v>17</v>
      </c>
      <c r="F57" s="1" t="s">
        <v>301</v>
      </c>
      <c r="G57" s="1" t="s">
        <v>19</v>
      </c>
      <c r="H57" s="3">
        <v>0.83333333333333337</v>
      </c>
      <c r="I57" s="1" t="s">
        <v>302</v>
      </c>
      <c r="K57" s="1" t="s">
        <v>303</v>
      </c>
      <c r="L57" s="1" t="s">
        <v>304</v>
      </c>
      <c r="M57" s="1" t="s">
        <v>305</v>
      </c>
      <c r="N57" s="1" t="s">
        <v>23</v>
      </c>
      <c r="O57" s="1" t="str">
        <f>"94105"</f>
        <v>94105</v>
      </c>
    </row>
    <row r="58" spans="1:15" x14ac:dyDescent="0.2">
      <c r="A58" s="1" t="s">
        <v>306</v>
      </c>
      <c r="B58" s="1" t="s">
        <v>307</v>
      </c>
      <c r="C58" s="1">
        <v>5</v>
      </c>
      <c r="D58" s="2">
        <v>35</v>
      </c>
      <c r="E58" s="1" t="s">
        <v>17</v>
      </c>
      <c r="F58" s="1" t="s">
        <v>308</v>
      </c>
      <c r="G58" s="1" t="s">
        <v>19</v>
      </c>
      <c r="H58" s="3">
        <v>0.83333333333333337</v>
      </c>
      <c r="I58" s="1" t="s">
        <v>309</v>
      </c>
      <c r="J58" s="1">
        <v>9493884784</v>
      </c>
      <c r="K58" s="1" t="s">
        <v>310</v>
      </c>
      <c r="M58" s="1" t="s">
        <v>283</v>
      </c>
      <c r="N58" s="1" t="s">
        <v>23</v>
      </c>
      <c r="O58" s="1" t="str">
        <f>"92679"</f>
        <v>92679</v>
      </c>
    </row>
    <row r="59" spans="1:15" x14ac:dyDescent="0.2">
      <c r="A59" s="1" t="s">
        <v>311</v>
      </c>
      <c r="B59" s="1" t="s">
        <v>312</v>
      </c>
      <c r="C59" s="1">
        <v>2</v>
      </c>
      <c r="D59" s="2">
        <v>65</v>
      </c>
      <c r="E59" s="1" t="s">
        <v>17</v>
      </c>
      <c r="F59" s="1" t="s">
        <v>313</v>
      </c>
      <c r="G59" s="1" t="s">
        <v>19</v>
      </c>
      <c r="H59" s="3">
        <v>0.83333333333333337</v>
      </c>
      <c r="I59" s="1" t="s">
        <v>314</v>
      </c>
      <c r="K59" s="1" t="s">
        <v>315</v>
      </c>
      <c r="M59" s="1" t="s">
        <v>51</v>
      </c>
      <c r="N59" s="1" t="s">
        <v>23</v>
      </c>
      <c r="O59" s="1" t="str">
        <f>"94123"</f>
        <v>94123</v>
      </c>
    </row>
    <row r="60" spans="1:15" x14ac:dyDescent="0.2">
      <c r="A60" s="1" t="s">
        <v>316</v>
      </c>
      <c r="B60" s="1" t="s">
        <v>317</v>
      </c>
      <c r="C60" s="1">
        <v>2</v>
      </c>
      <c r="D60" s="2">
        <v>75</v>
      </c>
      <c r="E60" s="1" t="s">
        <v>17</v>
      </c>
      <c r="F60" s="1" t="s">
        <v>318</v>
      </c>
      <c r="G60" s="1" t="s">
        <v>19</v>
      </c>
      <c r="H60" s="3">
        <v>0.83333333333333337</v>
      </c>
      <c r="I60" s="1" t="s">
        <v>319</v>
      </c>
      <c r="J60" s="1">
        <v>4159994186</v>
      </c>
      <c r="K60" s="1" t="s">
        <v>320</v>
      </c>
      <c r="M60" s="1" t="s">
        <v>51</v>
      </c>
      <c r="N60" s="1" t="s">
        <v>23</v>
      </c>
      <c r="O60" s="1" t="str">
        <f>"94102"</f>
        <v>94102</v>
      </c>
    </row>
    <row r="61" spans="1:15" x14ac:dyDescent="0.2">
      <c r="A61" s="1" t="s">
        <v>321</v>
      </c>
      <c r="B61" s="1" t="s">
        <v>322</v>
      </c>
      <c r="C61" s="1">
        <v>2</v>
      </c>
      <c r="D61" s="2">
        <v>65</v>
      </c>
      <c r="E61" s="1" t="s">
        <v>17</v>
      </c>
      <c r="F61" s="1" t="s">
        <v>323</v>
      </c>
      <c r="G61" s="1" t="s">
        <v>19</v>
      </c>
      <c r="H61" s="3">
        <v>0.83333333333333337</v>
      </c>
      <c r="I61" s="1" t="s">
        <v>324</v>
      </c>
      <c r="K61" s="1" t="s">
        <v>325</v>
      </c>
      <c r="L61" s="1" t="s">
        <v>326</v>
      </c>
      <c r="M61" s="1" t="s">
        <v>327</v>
      </c>
      <c r="N61" s="1" t="s">
        <v>23</v>
      </c>
      <c r="O61" s="1" t="str">
        <f>"94597"</f>
        <v>94597</v>
      </c>
    </row>
    <row r="62" spans="1:15" x14ac:dyDescent="0.2">
      <c r="A62" s="1" t="s">
        <v>328</v>
      </c>
      <c r="B62" s="1" t="s">
        <v>329</v>
      </c>
      <c r="C62" s="1">
        <v>2</v>
      </c>
      <c r="D62" s="2">
        <v>65</v>
      </c>
      <c r="E62" s="1" t="s">
        <v>17</v>
      </c>
      <c r="F62" s="1" t="s">
        <v>330</v>
      </c>
      <c r="G62" s="1" t="s">
        <v>19</v>
      </c>
      <c r="H62" s="3">
        <v>0.83333333333333337</v>
      </c>
      <c r="I62" s="1" t="s">
        <v>331</v>
      </c>
      <c r="J62" s="1">
        <v>6693367462</v>
      </c>
      <c r="K62" s="1" t="s">
        <v>332</v>
      </c>
      <c r="M62" s="1" t="s">
        <v>333</v>
      </c>
      <c r="N62" s="1" t="s">
        <v>23</v>
      </c>
      <c r="O62" s="1" t="str">
        <f>"95008"</f>
        <v>95008</v>
      </c>
    </row>
    <row r="63" spans="1:15" x14ac:dyDescent="0.2">
      <c r="A63" s="1" t="s">
        <v>334</v>
      </c>
      <c r="B63" s="1" t="s">
        <v>335</v>
      </c>
      <c r="C63" s="1">
        <v>3</v>
      </c>
      <c r="D63" s="2">
        <v>35</v>
      </c>
      <c r="E63" s="1" t="s">
        <v>17</v>
      </c>
      <c r="F63" s="1" t="s">
        <v>336</v>
      </c>
      <c r="G63" s="1" t="s">
        <v>19</v>
      </c>
      <c r="H63" s="3">
        <v>0.83333333333333337</v>
      </c>
      <c r="I63" s="1" t="s">
        <v>337</v>
      </c>
      <c r="J63" s="1">
        <v>9724797311</v>
      </c>
      <c r="K63" s="1" t="s">
        <v>338</v>
      </c>
      <c r="M63" s="1" t="s">
        <v>283</v>
      </c>
      <c r="N63" s="1" t="s">
        <v>23</v>
      </c>
      <c r="O63" s="1" t="str">
        <f>"92679"</f>
        <v>92679</v>
      </c>
    </row>
    <row r="64" spans="1:15" x14ac:dyDescent="0.2">
      <c r="A64" s="1" t="s">
        <v>339</v>
      </c>
      <c r="B64" s="1" t="s">
        <v>340</v>
      </c>
      <c r="C64" s="1">
        <v>3</v>
      </c>
      <c r="D64" s="2">
        <v>35</v>
      </c>
      <c r="E64" s="1" t="s">
        <v>17</v>
      </c>
      <c r="F64" s="1" t="s">
        <v>341</v>
      </c>
      <c r="G64" s="1" t="s">
        <v>19</v>
      </c>
      <c r="H64" s="3">
        <v>0.83333333333333337</v>
      </c>
      <c r="I64" s="1" t="s">
        <v>342</v>
      </c>
      <c r="K64" s="1" t="s">
        <v>343</v>
      </c>
      <c r="M64" s="1" t="s">
        <v>344</v>
      </c>
      <c r="N64" s="1" t="s">
        <v>23</v>
      </c>
      <c r="O64" s="1" t="str">
        <f>"94010"</f>
        <v>94010</v>
      </c>
    </row>
    <row r="65" spans="1:15" x14ac:dyDescent="0.2">
      <c r="A65" s="1" t="s">
        <v>345</v>
      </c>
      <c r="B65" s="1" t="s">
        <v>346</v>
      </c>
      <c r="C65" s="1">
        <v>4</v>
      </c>
      <c r="D65" s="2">
        <v>75</v>
      </c>
      <c r="E65" s="1" t="s">
        <v>17</v>
      </c>
      <c r="F65" s="1" t="s">
        <v>347</v>
      </c>
      <c r="G65" s="1" t="s">
        <v>19</v>
      </c>
      <c r="H65" s="3">
        <v>0.83333333333333337</v>
      </c>
      <c r="I65" s="1" t="s">
        <v>348</v>
      </c>
      <c r="K65" s="1" t="s">
        <v>349</v>
      </c>
      <c r="M65" s="1" t="s">
        <v>350</v>
      </c>
      <c r="N65" s="1" t="s">
        <v>23</v>
      </c>
      <c r="O65" s="1" t="str">
        <f>"94563"</f>
        <v>94563</v>
      </c>
    </row>
    <row r="66" spans="1:15" x14ac:dyDescent="0.2">
      <c r="A66" s="1" t="s">
        <v>351</v>
      </c>
      <c r="B66" s="1" t="s">
        <v>352</v>
      </c>
      <c r="C66" s="1">
        <v>6</v>
      </c>
      <c r="D66" s="2">
        <v>50</v>
      </c>
      <c r="E66" s="1" t="s">
        <v>17</v>
      </c>
      <c r="F66" s="1" t="s">
        <v>353</v>
      </c>
      <c r="G66" s="1" t="s">
        <v>19</v>
      </c>
      <c r="H66" s="3">
        <v>0.83333333333333337</v>
      </c>
      <c r="I66" s="1" t="s">
        <v>354</v>
      </c>
      <c r="K66" s="1" t="s">
        <v>355</v>
      </c>
      <c r="M66" s="1" t="s">
        <v>356</v>
      </c>
      <c r="N66" s="1" t="s">
        <v>23</v>
      </c>
      <c r="O66" s="1" t="str">
        <f>"91302"</f>
        <v>91302</v>
      </c>
    </row>
    <row r="67" spans="1:15" x14ac:dyDescent="0.2">
      <c r="A67" s="1" t="s">
        <v>357</v>
      </c>
      <c r="B67" s="1" t="s">
        <v>358</v>
      </c>
      <c r="C67" s="1">
        <v>1</v>
      </c>
      <c r="D67" s="2">
        <v>35</v>
      </c>
      <c r="E67" s="1" t="s">
        <v>17</v>
      </c>
      <c r="F67" s="1" t="s">
        <v>359</v>
      </c>
      <c r="G67" s="1" t="s">
        <v>19</v>
      </c>
      <c r="H67" s="3">
        <v>0.83333333333333337</v>
      </c>
      <c r="I67" s="1" t="s">
        <v>360</v>
      </c>
      <c r="K67" s="1" t="s">
        <v>361</v>
      </c>
      <c r="M67" s="1" t="s">
        <v>362</v>
      </c>
      <c r="N67" s="1" t="s">
        <v>23</v>
      </c>
      <c r="O67" s="1" t="str">
        <f>"94553"</f>
        <v>94553</v>
      </c>
    </row>
    <row r="68" spans="1:15" x14ac:dyDescent="0.2">
      <c r="A68" s="1" t="s">
        <v>363</v>
      </c>
      <c r="B68" s="1" t="s">
        <v>364</v>
      </c>
      <c r="C68" s="1">
        <v>2</v>
      </c>
      <c r="D68" s="2">
        <v>65</v>
      </c>
      <c r="E68" s="1" t="s">
        <v>17</v>
      </c>
      <c r="F68" s="1" t="s">
        <v>365</v>
      </c>
      <c r="G68" s="1" t="s">
        <v>19</v>
      </c>
      <c r="H68" s="3">
        <v>0.83333333333333337</v>
      </c>
      <c r="I68" s="1" t="s">
        <v>366</v>
      </c>
      <c r="K68" s="1" t="s">
        <v>367</v>
      </c>
      <c r="M68" s="1" t="s">
        <v>368</v>
      </c>
      <c r="N68" s="1" t="s">
        <v>23</v>
      </c>
      <c r="O68" s="1" t="str">
        <f>"94588"</f>
        <v>94588</v>
      </c>
    </row>
    <row r="69" spans="1:15" x14ac:dyDescent="0.2">
      <c r="A69" s="1" t="s">
        <v>369</v>
      </c>
      <c r="B69" s="1" t="s">
        <v>370</v>
      </c>
      <c r="C69" s="1">
        <v>1</v>
      </c>
      <c r="D69" s="2">
        <v>50</v>
      </c>
      <c r="E69" s="1" t="s">
        <v>17</v>
      </c>
      <c r="F69" s="1" t="s">
        <v>371</v>
      </c>
      <c r="G69" s="1" t="s">
        <v>19</v>
      </c>
      <c r="H69" s="3">
        <v>0.83333333333333337</v>
      </c>
      <c r="I69" s="1" t="s">
        <v>372</v>
      </c>
      <c r="K69" s="1" t="s">
        <v>373</v>
      </c>
      <c r="M69" s="1" t="s">
        <v>298</v>
      </c>
      <c r="N69" s="1" t="s">
        <v>23</v>
      </c>
      <c r="O69" s="1" t="str">
        <f>"94526"</f>
        <v>94526</v>
      </c>
    </row>
    <row r="70" spans="1:15" x14ac:dyDescent="0.2">
      <c r="A70" s="1" t="s">
        <v>374</v>
      </c>
      <c r="B70" s="1" t="s">
        <v>375</v>
      </c>
      <c r="C70" s="1">
        <v>2</v>
      </c>
      <c r="D70" s="2">
        <v>75</v>
      </c>
      <c r="E70" s="1" t="s">
        <v>17</v>
      </c>
      <c r="F70" s="1" t="s">
        <v>376</v>
      </c>
      <c r="G70" s="1" t="s">
        <v>19</v>
      </c>
      <c r="H70" s="3">
        <v>0.83333333333333337</v>
      </c>
      <c r="I70" s="1" t="s">
        <v>377</v>
      </c>
      <c r="K70" s="1" t="s">
        <v>378</v>
      </c>
      <c r="L70" s="1" t="s">
        <v>379</v>
      </c>
      <c r="M70" s="1" t="s">
        <v>51</v>
      </c>
      <c r="N70" s="1" t="s">
        <v>23</v>
      </c>
      <c r="O70" s="1" t="str">
        <f>"94117"</f>
        <v>94117</v>
      </c>
    </row>
    <row r="71" spans="1:15" x14ac:dyDescent="0.2">
      <c r="A71" s="1" t="s">
        <v>380</v>
      </c>
      <c r="B71" s="1" t="s">
        <v>381</v>
      </c>
      <c r="C71" s="1">
        <v>2</v>
      </c>
      <c r="D71" s="2">
        <v>50</v>
      </c>
      <c r="E71" s="1" t="s">
        <v>17</v>
      </c>
      <c r="F71" s="1" t="s">
        <v>382</v>
      </c>
      <c r="G71" s="1" t="s">
        <v>19</v>
      </c>
      <c r="H71" s="3">
        <v>0.83333333333333337</v>
      </c>
      <c r="I71" s="1" t="s">
        <v>383</v>
      </c>
      <c r="K71" s="1" t="s">
        <v>384</v>
      </c>
      <c r="L71" s="1" t="s">
        <v>385</v>
      </c>
      <c r="M71" s="1" t="s">
        <v>386</v>
      </c>
      <c r="N71" s="1" t="s">
        <v>23</v>
      </c>
      <c r="O71" s="1" t="str">
        <f>"94086"</f>
        <v>94086</v>
      </c>
    </row>
    <row r="72" spans="1:15" x14ac:dyDescent="0.2">
      <c r="A72" s="1" t="s">
        <v>380</v>
      </c>
      <c r="B72" s="1" t="s">
        <v>381</v>
      </c>
      <c r="C72" s="1">
        <v>1</v>
      </c>
      <c r="D72" s="2">
        <v>50</v>
      </c>
      <c r="E72" s="1" t="s">
        <v>17</v>
      </c>
      <c r="F72" s="1" t="s">
        <v>387</v>
      </c>
      <c r="G72" s="1" t="s">
        <v>19</v>
      </c>
      <c r="H72" s="3">
        <v>0.83333333333333337</v>
      </c>
      <c r="I72" s="1" t="s">
        <v>383</v>
      </c>
      <c r="K72" s="1" t="s">
        <v>388</v>
      </c>
      <c r="L72" s="1" t="s">
        <v>385</v>
      </c>
      <c r="M72" s="1" t="s">
        <v>270</v>
      </c>
      <c r="N72" s="1" t="s">
        <v>23</v>
      </c>
      <c r="O72" s="1" t="str">
        <f>"94086"</f>
        <v>94086</v>
      </c>
    </row>
    <row r="73" spans="1:15" x14ac:dyDescent="0.2">
      <c r="A73" s="1" t="s">
        <v>389</v>
      </c>
      <c r="B73" s="1" t="s">
        <v>390</v>
      </c>
      <c r="C73" s="1">
        <v>1</v>
      </c>
      <c r="D73" s="2">
        <v>110</v>
      </c>
      <c r="E73" s="1" t="s">
        <v>17</v>
      </c>
      <c r="F73" s="1" t="s">
        <v>391</v>
      </c>
      <c r="G73" s="1" t="s">
        <v>19</v>
      </c>
      <c r="H73" s="3">
        <v>0.83333333333333337</v>
      </c>
      <c r="I73" s="1" t="s">
        <v>392</v>
      </c>
      <c r="J73" s="1">
        <v>4158233502</v>
      </c>
      <c r="K73" s="1" t="s">
        <v>393</v>
      </c>
      <c r="M73" s="1" t="s">
        <v>394</v>
      </c>
      <c r="N73" s="1" t="s">
        <v>23</v>
      </c>
      <c r="O73" s="1" t="str">
        <f>"94507"</f>
        <v>94507</v>
      </c>
    </row>
    <row r="74" spans="1:15" x14ac:dyDescent="0.2">
      <c r="A74" s="1" t="s">
        <v>395</v>
      </c>
      <c r="B74" s="1" t="s">
        <v>396</v>
      </c>
      <c r="C74" s="1">
        <v>4</v>
      </c>
      <c r="D74" s="2">
        <v>65</v>
      </c>
      <c r="E74" s="1" t="s">
        <v>17</v>
      </c>
      <c r="F74" s="1" t="s">
        <v>397</v>
      </c>
      <c r="G74" s="1" t="s">
        <v>19</v>
      </c>
      <c r="H74" s="3">
        <v>0.83333333333333337</v>
      </c>
      <c r="I74" s="1" t="s">
        <v>398</v>
      </c>
      <c r="J74" s="1">
        <v>9164621910</v>
      </c>
      <c r="K74" s="1" t="s">
        <v>399</v>
      </c>
      <c r="M74" s="1" t="s">
        <v>400</v>
      </c>
      <c r="N74" s="1" t="s">
        <v>23</v>
      </c>
      <c r="O74" s="1" t="str">
        <f>"95661"</f>
        <v>95661</v>
      </c>
    </row>
    <row r="75" spans="1:15" x14ac:dyDescent="0.2">
      <c r="A75" s="1" t="s">
        <v>401</v>
      </c>
      <c r="B75" s="1" t="s">
        <v>402</v>
      </c>
      <c r="C75" s="1">
        <v>4</v>
      </c>
      <c r="D75" s="2">
        <v>75</v>
      </c>
      <c r="E75" s="1" t="s">
        <v>17</v>
      </c>
      <c r="F75" s="1" t="s">
        <v>403</v>
      </c>
      <c r="G75" s="1" t="s">
        <v>19</v>
      </c>
      <c r="H75" s="3">
        <v>0.83333333333333337</v>
      </c>
      <c r="I75" s="1" t="s">
        <v>404</v>
      </c>
      <c r="K75" s="1" t="s">
        <v>405</v>
      </c>
      <c r="M75" s="1" t="s">
        <v>298</v>
      </c>
      <c r="N75" s="1" t="s">
        <v>23</v>
      </c>
      <c r="O75" s="1" t="str">
        <f>"94526"</f>
        <v>94526</v>
      </c>
    </row>
    <row r="76" spans="1:15" x14ac:dyDescent="0.2">
      <c r="A76" s="1" t="s">
        <v>406</v>
      </c>
      <c r="B76" s="1" t="s">
        <v>407</v>
      </c>
      <c r="C76" s="1">
        <v>3</v>
      </c>
      <c r="D76" s="2">
        <v>50</v>
      </c>
      <c r="E76" s="1" t="s">
        <v>17</v>
      </c>
      <c r="F76" s="1" t="s">
        <v>408</v>
      </c>
      <c r="G76" s="1" t="s">
        <v>19</v>
      </c>
      <c r="H76" s="3">
        <v>0.83333333333333337</v>
      </c>
      <c r="I76" s="1" t="s">
        <v>409</v>
      </c>
      <c r="K76" s="1" t="s">
        <v>410</v>
      </c>
      <c r="M76" s="1" t="s">
        <v>39</v>
      </c>
      <c r="N76" s="1" t="s">
        <v>23</v>
      </c>
      <c r="O76" s="1" t="str">
        <f>"94568"</f>
        <v>94568</v>
      </c>
    </row>
    <row r="77" spans="1:15" x14ac:dyDescent="0.2">
      <c r="A77" s="1" t="s">
        <v>411</v>
      </c>
      <c r="B77" s="1" t="s">
        <v>412</v>
      </c>
      <c r="C77" s="1">
        <v>2</v>
      </c>
      <c r="D77" s="2">
        <v>65</v>
      </c>
      <c r="E77" s="1" t="s">
        <v>17</v>
      </c>
      <c r="F77" s="1" t="s">
        <v>413</v>
      </c>
      <c r="G77" s="1" t="s">
        <v>19</v>
      </c>
      <c r="H77" s="3">
        <v>0.83333333333333337</v>
      </c>
      <c r="I77" s="1" t="s">
        <v>414</v>
      </c>
      <c r="K77" s="1" t="s">
        <v>415</v>
      </c>
      <c r="M77" s="1" t="s">
        <v>416</v>
      </c>
      <c r="N77" s="1" t="s">
        <v>23</v>
      </c>
      <c r="O77" s="1" t="str">
        <f>"94121"</f>
        <v>94121</v>
      </c>
    </row>
    <row r="78" spans="1:15" x14ac:dyDescent="0.2">
      <c r="A78" s="1" t="s">
        <v>417</v>
      </c>
      <c r="B78" s="1" t="s">
        <v>418</v>
      </c>
      <c r="C78" s="1">
        <v>2</v>
      </c>
      <c r="D78" s="2">
        <v>0</v>
      </c>
      <c r="E78" s="1" t="s">
        <v>27</v>
      </c>
      <c r="F78" s="1" t="s">
        <v>419</v>
      </c>
      <c r="G78" s="1" t="s">
        <v>19</v>
      </c>
      <c r="H78" s="3">
        <v>0.83333333333333337</v>
      </c>
      <c r="I78" s="1" t="s">
        <v>420</v>
      </c>
      <c r="J78" s="1" t="s">
        <v>421</v>
      </c>
      <c r="K78" s="1" t="s">
        <v>204</v>
      </c>
      <c r="M78" s="1" t="s">
        <v>204</v>
      </c>
      <c r="N78" s="1" t="s">
        <v>23</v>
      </c>
      <c r="O78" s="1" t="str">
        <f t="shared" ref="O78:O83" si="0">"00000"</f>
        <v>00000</v>
      </c>
    </row>
    <row r="79" spans="1:15" x14ac:dyDescent="0.2">
      <c r="A79" s="1" t="s">
        <v>417</v>
      </c>
      <c r="B79" s="1" t="s">
        <v>418</v>
      </c>
      <c r="C79" s="1">
        <v>4</v>
      </c>
      <c r="D79" s="2">
        <v>110</v>
      </c>
      <c r="E79" s="1" t="s">
        <v>17</v>
      </c>
      <c r="F79" s="1" t="s">
        <v>422</v>
      </c>
      <c r="G79" s="1" t="s">
        <v>19</v>
      </c>
      <c r="H79" s="3">
        <v>0.83333333333333337</v>
      </c>
      <c r="I79" s="1" t="s">
        <v>420</v>
      </c>
      <c r="J79" s="1" t="s">
        <v>421</v>
      </c>
      <c r="K79" s="1" t="s">
        <v>204</v>
      </c>
      <c r="M79" s="1" t="s">
        <v>204</v>
      </c>
      <c r="N79" s="1" t="s">
        <v>23</v>
      </c>
      <c r="O79" s="1" t="str">
        <f t="shared" si="0"/>
        <v>00000</v>
      </c>
    </row>
    <row r="80" spans="1:15" x14ac:dyDescent="0.2">
      <c r="A80" s="1" t="s">
        <v>417</v>
      </c>
      <c r="B80" s="1" t="s">
        <v>418</v>
      </c>
      <c r="C80" s="1">
        <v>4</v>
      </c>
      <c r="D80" s="2">
        <v>75</v>
      </c>
      <c r="E80" s="1" t="s">
        <v>17</v>
      </c>
      <c r="F80" s="1" t="s">
        <v>423</v>
      </c>
      <c r="G80" s="1" t="s">
        <v>19</v>
      </c>
      <c r="H80" s="3">
        <v>0.83333333333333337</v>
      </c>
      <c r="I80" s="1" t="s">
        <v>420</v>
      </c>
      <c r="J80" s="1" t="s">
        <v>421</v>
      </c>
      <c r="K80" s="1" t="s">
        <v>204</v>
      </c>
      <c r="M80" s="1" t="s">
        <v>204</v>
      </c>
      <c r="N80" s="1" t="s">
        <v>23</v>
      </c>
      <c r="O80" s="1" t="str">
        <f t="shared" si="0"/>
        <v>00000</v>
      </c>
    </row>
    <row r="81" spans="1:15" x14ac:dyDescent="0.2">
      <c r="A81" s="1" t="s">
        <v>417</v>
      </c>
      <c r="B81" s="1" t="s">
        <v>418</v>
      </c>
      <c r="C81" s="1">
        <v>2</v>
      </c>
      <c r="D81" s="2">
        <v>125</v>
      </c>
      <c r="E81" s="1" t="s">
        <v>17</v>
      </c>
      <c r="F81" s="1" t="s">
        <v>424</v>
      </c>
      <c r="G81" s="1" t="s">
        <v>19</v>
      </c>
      <c r="H81" s="3">
        <v>0.83333333333333337</v>
      </c>
      <c r="I81" s="1" t="s">
        <v>420</v>
      </c>
      <c r="J81" s="1" t="s">
        <v>421</v>
      </c>
      <c r="K81" s="1" t="s">
        <v>204</v>
      </c>
      <c r="M81" s="1" t="s">
        <v>204</v>
      </c>
      <c r="N81" s="1" t="s">
        <v>23</v>
      </c>
      <c r="O81" s="1" t="str">
        <f t="shared" si="0"/>
        <v>00000</v>
      </c>
    </row>
    <row r="82" spans="1:15" x14ac:dyDescent="0.2">
      <c r="A82" s="1" t="s">
        <v>417</v>
      </c>
      <c r="B82" s="1" t="s">
        <v>418</v>
      </c>
      <c r="C82" s="1">
        <v>1</v>
      </c>
      <c r="D82" s="2">
        <v>110</v>
      </c>
      <c r="E82" s="1" t="s">
        <v>17</v>
      </c>
      <c r="F82" s="1" t="s">
        <v>425</v>
      </c>
      <c r="G82" s="1" t="s">
        <v>19</v>
      </c>
      <c r="H82" s="3">
        <v>0.83333333333333337</v>
      </c>
      <c r="I82" s="1" t="s">
        <v>420</v>
      </c>
      <c r="J82" s="1" t="s">
        <v>421</v>
      </c>
      <c r="K82" s="1" t="s">
        <v>204</v>
      </c>
      <c r="M82" s="1" t="s">
        <v>204</v>
      </c>
      <c r="N82" s="1" t="s">
        <v>23</v>
      </c>
      <c r="O82" s="1" t="str">
        <f t="shared" si="0"/>
        <v>00000</v>
      </c>
    </row>
    <row r="83" spans="1:15" x14ac:dyDescent="0.2">
      <c r="A83" s="1" t="s">
        <v>417</v>
      </c>
      <c r="B83" s="1" t="s">
        <v>418</v>
      </c>
      <c r="C83" s="1">
        <v>2</v>
      </c>
      <c r="D83" s="2">
        <v>75</v>
      </c>
      <c r="E83" s="1" t="s">
        <v>17</v>
      </c>
      <c r="F83" s="1" t="s">
        <v>426</v>
      </c>
      <c r="G83" s="1" t="s">
        <v>19</v>
      </c>
      <c r="H83" s="3">
        <v>0.83333333333333337</v>
      </c>
      <c r="I83" s="1" t="s">
        <v>420</v>
      </c>
      <c r="J83" s="1" t="s">
        <v>421</v>
      </c>
      <c r="K83" s="1" t="s">
        <v>204</v>
      </c>
      <c r="M83" s="1" t="s">
        <v>204</v>
      </c>
      <c r="N83" s="1" t="s">
        <v>23</v>
      </c>
      <c r="O83" s="1" t="str">
        <f t="shared" si="0"/>
        <v>00000</v>
      </c>
    </row>
    <row r="84" spans="1:15" x14ac:dyDescent="0.2">
      <c r="A84" s="1" t="s">
        <v>427</v>
      </c>
      <c r="B84" s="1" t="s">
        <v>428</v>
      </c>
      <c r="C84" s="1">
        <v>1</v>
      </c>
      <c r="D84" s="2">
        <v>110</v>
      </c>
      <c r="E84" s="1" t="s">
        <v>17</v>
      </c>
      <c r="F84" s="1" t="s">
        <v>429</v>
      </c>
      <c r="G84" s="1" t="s">
        <v>19</v>
      </c>
      <c r="H84" s="3">
        <v>0.83333333333333337</v>
      </c>
      <c r="I84" s="1" t="s">
        <v>430</v>
      </c>
      <c r="K84" s="1" t="s">
        <v>431</v>
      </c>
      <c r="M84" s="1" t="s">
        <v>100</v>
      </c>
      <c r="N84" s="1" t="s">
        <v>23</v>
      </c>
      <c r="O84" s="1" t="str">
        <f>"95134"</f>
        <v>95134</v>
      </c>
    </row>
    <row r="85" spans="1:15" x14ac:dyDescent="0.2">
      <c r="A85" s="1" t="s">
        <v>432</v>
      </c>
      <c r="B85" s="1" t="s">
        <v>433</v>
      </c>
      <c r="C85" s="1">
        <v>1</v>
      </c>
      <c r="D85" s="2">
        <v>65</v>
      </c>
      <c r="E85" s="1" t="s">
        <v>17</v>
      </c>
      <c r="F85" s="1" t="s">
        <v>434</v>
      </c>
      <c r="G85" s="1" t="s">
        <v>19</v>
      </c>
      <c r="H85" s="3">
        <v>0.83333333333333337</v>
      </c>
      <c r="I85" s="1" t="s">
        <v>435</v>
      </c>
      <c r="K85" s="1" t="s">
        <v>436</v>
      </c>
      <c r="M85" s="1" t="s">
        <v>437</v>
      </c>
      <c r="N85" s="1" t="s">
        <v>23</v>
      </c>
      <c r="O85" s="1" t="str">
        <f>"94803"</f>
        <v>94803</v>
      </c>
    </row>
    <row r="86" spans="1:15" x14ac:dyDescent="0.2">
      <c r="A86" s="1" t="s">
        <v>432</v>
      </c>
      <c r="B86" s="1" t="s">
        <v>433</v>
      </c>
      <c r="C86" s="1">
        <v>1</v>
      </c>
      <c r="D86" s="2">
        <v>65</v>
      </c>
      <c r="E86" s="1" t="s">
        <v>17</v>
      </c>
      <c r="F86" s="1" t="s">
        <v>438</v>
      </c>
      <c r="G86" s="1" t="s">
        <v>19</v>
      </c>
      <c r="H86" s="3">
        <v>0.83333333333333337</v>
      </c>
      <c r="I86" s="1" t="s">
        <v>435</v>
      </c>
      <c r="K86" s="1" t="s">
        <v>436</v>
      </c>
      <c r="M86" s="1" t="s">
        <v>437</v>
      </c>
      <c r="N86" s="1" t="s">
        <v>23</v>
      </c>
      <c r="O86" s="1" t="str">
        <f>"94803"</f>
        <v>94803</v>
      </c>
    </row>
    <row r="87" spans="1:15" x14ac:dyDescent="0.2">
      <c r="A87" s="1" t="s">
        <v>432</v>
      </c>
      <c r="B87" s="1" t="s">
        <v>433</v>
      </c>
      <c r="C87" s="1">
        <v>2</v>
      </c>
      <c r="D87" s="2">
        <v>50</v>
      </c>
      <c r="E87" s="1" t="s">
        <v>17</v>
      </c>
      <c r="F87" s="1" t="s">
        <v>439</v>
      </c>
      <c r="G87" s="1" t="s">
        <v>19</v>
      </c>
      <c r="H87" s="3">
        <v>0.83333333333333337</v>
      </c>
      <c r="I87" s="1" t="s">
        <v>435</v>
      </c>
      <c r="K87" s="1" t="s">
        <v>436</v>
      </c>
      <c r="M87" s="1" t="s">
        <v>437</v>
      </c>
      <c r="N87" s="1" t="s">
        <v>23</v>
      </c>
      <c r="O87" s="1" t="str">
        <f>"94803"</f>
        <v>94803</v>
      </c>
    </row>
    <row r="88" spans="1:15" x14ac:dyDescent="0.2">
      <c r="A88" s="1" t="s">
        <v>440</v>
      </c>
      <c r="B88" s="1" t="s">
        <v>441</v>
      </c>
      <c r="C88" s="1">
        <v>2</v>
      </c>
      <c r="D88" s="2">
        <v>65</v>
      </c>
      <c r="E88" s="1" t="s">
        <v>17</v>
      </c>
      <c r="F88" s="1" t="s">
        <v>442</v>
      </c>
      <c r="G88" s="1" t="s">
        <v>19</v>
      </c>
      <c r="H88" s="3">
        <v>0.83333333333333337</v>
      </c>
      <c r="I88" s="1" t="s">
        <v>443</v>
      </c>
      <c r="J88" s="1">
        <v>8594791793</v>
      </c>
      <c r="K88" s="1" t="s">
        <v>444</v>
      </c>
      <c r="M88" s="1" t="s">
        <v>445</v>
      </c>
      <c r="N88" s="1" t="s">
        <v>446</v>
      </c>
      <c r="O88" s="1" t="str">
        <f>"40291"</f>
        <v>40291</v>
      </c>
    </row>
    <row r="89" spans="1:15" x14ac:dyDescent="0.2">
      <c r="A89" s="1" t="s">
        <v>447</v>
      </c>
      <c r="B89" s="1" t="s">
        <v>448</v>
      </c>
      <c r="C89" s="1">
        <v>3</v>
      </c>
      <c r="D89" s="2">
        <v>110</v>
      </c>
      <c r="E89" s="1" t="s">
        <v>17</v>
      </c>
      <c r="F89" s="1" t="s">
        <v>449</v>
      </c>
      <c r="G89" s="1" t="s">
        <v>19</v>
      </c>
      <c r="H89" s="3">
        <v>0.83333333333333337</v>
      </c>
      <c r="I89" s="1" t="s">
        <v>392</v>
      </c>
      <c r="K89" s="1" t="s">
        <v>450</v>
      </c>
      <c r="M89" s="1" t="s">
        <v>394</v>
      </c>
      <c r="N89" s="1" t="s">
        <v>23</v>
      </c>
      <c r="O89" s="1" t="str">
        <f>"94507"</f>
        <v>94507</v>
      </c>
    </row>
    <row r="90" spans="1:15" x14ac:dyDescent="0.2">
      <c r="A90" s="1" t="s">
        <v>451</v>
      </c>
      <c r="B90" s="1" t="s">
        <v>452</v>
      </c>
      <c r="C90" s="1">
        <v>2</v>
      </c>
      <c r="D90" s="2">
        <v>65</v>
      </c>
      <c r="E90" s="1" t="s">
        <v>17</v>
      </c>
      <c r="F90" s="1" t="s">
        <v>453</v>
      </c>
      <c r="G90" s="1" t="s">
        <v>19</v>
      </c>
      <c r="H90" s="3">
        <v>0.83333333333333337</v>
      </c>
      <c r="I90" s="1" t="s">
        <v>454</v>
      </c>
      <c r="K90" s="1" t="s">
        <v>455</v>
      </c>
      <c r="L90" s="1">
        <v>2002</v>
      </c>
      <c r="M90" s="1" t="s">
        <v>51</v>
      </c>
      <c r="N90" s="1" t="s">
        <v>23</v>
      </c>
      <c r="O90" s="1" t="str">
        <f>"94104"</f>
        <v>94104</v>
      </c>
    </row>
    <row r="91" spans="1:15" x14ac:dyDescent="0.2">
      <c r="A91" s="1" t="s">
        <v>456</v>
      </c>
      <c r="B91" s="1" t="s">
        <v>457</v>
      </c>
      <c r="C91" s="1">
        <v>3</v>
      </c>
      <c r="D91" s="2">
        <v>35</v>
      </c>
      <c r="E91" s="1" t="s">
        <v>17</v>
      </c>
      <c r="F91" s="1" t="s">
        <v>458</v>
      </c>
      <c r="G91" s="1" t="s">
        <v>19</v>
      </c>
      <c r="H91" s="3">
        <v>0.83333333333333337</v>
      </c>
      <c r="I91" s="1" t="s">
        <v>459</v>
      </c>
      <c r="K91" s="1" t="s">
        <v>460</v>
      </c>
      <c r="L91" s="1" t="s">
        <v>461</v>
      </c>
      <c r="M91" s="1" t="s">
        <v>100</v>
      </c>
      <c r="N91" s="1" t="s">
        <v>23</v>
      </c>
      <c r="O91" s="1" t="str">
        <f>"95128"</f>
        <v>95128</v>
      </c>
    </row>
    <row r="92" spans="1:15" x14ac:dyDescent="0.2">
      <c r="A92" s="1" t="s">
        <v>462</v>
      </c>
      <c r="B92" s="1" t="s">
        <v>463</v>
      </c>
      <c r="C92" s="1">
        <v>5</v>
      </c>
      <c r="D92" s="2">
        <v>35</v>
      </c>
      <c r="E92" s="1" t="s">
        <v>17</v>
      </c>
      <c r="F92" s="1" t="s">
        <v>464</v>
      </c>
      <c r="G92" s="1" t="s">
        <v>19</v>
      </c>
      <c r="H92" s="3">
        <v>0.83333333333333337</v>
      </c>
      <c r="I92" s="1" t="s">
        <v>465</v>
      </c>
      <c r="K92" s="1" t="s">
        <v>466</v>
      </c>
      <c r="L92" s="1" t="s">
        <v>467</v>
      </c>
      <c r="M92" s="1" t="s">
        <v>51</v>
      </c>
      <c r="N92" s="1" t="s">
        <v>23</v>
      </c>
      <c r="O92" s="1" t="str">
        <f>"94158"</f>
        <v>94158</v>
      </c>
    </row>
    <row r="93" spans="1:15" x14ac:dyDescent="0.2">
      <c r="A93" s="1" t="s">
        <v>468</v>
      </c>
      <c r="B93" s="1" t="s">
        <v>469</v>
      </c>
      <c r="C93" s="1">
        <v>5</v>
      </c>
      <c r="D93" s="2">
        <v>50</v>
      </c>
      <c r="E93" s="1" t="s">
        <v>17</v>
      </c>
      <c r="F93" s="1" t="s">
        <v>470</v>
      </c>
      <c r="G93" s="1" t="s">
        <v>19</v>
      </c>
      <c r="H93" s="3">
        <v>0.83333333333333337</v>
      </c>
      <c r="I93" s="1" t="s">
        <v>471</v>
      </c>
      <c r="K93" s="1" t="s">
        <v>472</v>
      </c>
      <c r="M93" s="1" t="s">
        <v>473</v>
      </c>
      <c r="N93" s="1" t="s">
        <v>23</v>
      </c>
      <c r="O93" s="1" t="str">
        <f>"94582"</f>
        <v>94582</v>
      </c>
    </row>
    <row r="94" spans="1:15" x14ac:dyDescent="0.2">
      <c r="A94" s="1" t="s">
        <v>474</v>
      </c>
      <c r="B94" s="1" t="s">
        <v>475</v>
      </c>
      <c r="C94" s="1">
        <v>1</v>
      </c>
      <c r="D94" s="2">
        <v>110</v>
      </c>
      <c r="E94" s="1" t="s">
        <v>17</v>
      </c>
      <c r="F94" s="1" t="s">
        <v>476</v>
      </c>
      <c r="G94" s="1" t="s">
        <v>19</v>
      </c>
      <c r="H94" s="3">
        <v>0.83333333333333337</v>
      </c>
      <c r="I94" s="1" t="s">
        <v>477</v>
      </c>
      <c r="J94" s="1">
        <v>4082443000</v>
      </c>
      <c r="K94" s="1" t="s">
        <v>478</v>
      </c>
      <c r="M94" s="1" t="s">
        <v>479</v>
      </c>
      <c r="N94" s="1" t="s">
        <v>23</v>
      </c>
      <c r="O94" s="1" t="str">
        <f t="shared" ref="O94:O102" si="1">"95070"</f>
        <v>95070</v>
      </c>
    </row>
    <row r="95" spans="1:15" x14ac:dyDescent="0.2">
      <c r="A95" s="1" t="s">
        <v>474</v>
      </c>
      <c r="B95" s="1" t="s">
        <v>475</v>
      </c>
      <c r="C95" s="1">
        <v>1</v>
      </c>
      <c r="D95" s="2">
        <v>110</v>
      </c>
      <c r="E95" s="1" t="s">
        <v>17</v>
      </c>
      <c r="F95" s="1" t="s">
        <v>480</v>
      </c>
      <c r="G95" s="1" t="s">
        <v>19</v>
      </c>
      <c r="H95" s="3">
        <v>0.83333333333333337</v>
      </c>
      <c r="I95" s="1" t="s">
        <v>477</v>
      </c>
      <c r="J95" s="1">
        <v>4082443000</v>
      </c>
      <c r="K95" s="1" t="s">
        <v>478</v>
      </c>
      <c r="M95" s="1" t="s">
        <v>479</v>
      </c>
      <c r="N95" s="1" t="s">
        <v>23</v>
      </c>
      <c r="O95" s="1" t="str">
        <f t="shared" si="1"/>
        <v>95070</v>
      </c>
    </row>
    <row r="96" spans="1:15" x14ac:dyDescent="0.2">
      <c r="A96" s="1" t="s">
        <v>474</v>
      </c>
      <c r="B96" s="1" t="s">
        <v>475</v>
      </c>
      <c r="C96" s="1">
        <v>1</v>
      </c>
      <c r="D96" s="2">
        <v>110</v>
      </c>
      <c r="E96" s="1" t="s">
        <v>17</v>
      </c>
      <c r="F96" s="1" t="s">
        <v>481</v>
      </c>
      <c r="G96" s="1" t="s">
        <v>19</v>
      </c>
      <c r="H96" s="3">
        <v>0.83333333333333337</v>
      </c>
      <c r="I96" s="1" t="s">
        <v>477</v>
      </c>
      <c r="J96" s="1">
        <v>4082443000</v>
      </c>
      <c r="K96" s="1" t="s">
        <v>478</v>
      </c>
      <c r="M96" s="1" t="s">
        <v>479</v>
      </c>
      <c r="N96" s="1" t="s">
        <v>23</v>
      </c>
      <c r="O96" s="1" t="str">
        <f t="shared" si="1"/>
        <v>95070</v>
      </c>
    </row>
    <row r="97" spans="1:15" x14ac:dyDescent="0.2">
      <c r="A97" s="1" t="s">
        <v>474</v>
      </c>
      <c r="B97" s="1" t="s">
        <v>475</v>
      </c>
      <c r="C97" s="1">
        <v>1</v>
      </c>
      <c r="D97" s="2">
        <v>110</v>
      </c>
      <c r="E97" s="1" t="s">
        <v>17</v>
      </c>
      <c r="F97" s="1" t="s">
        <v>482</v>
      </c>
      <c r="G97" s="1" t="s">
        <v>19</v>
      </c>
      <c r="H97" s="3">
        <v>0.83333333333333337</v>
      </c>
      <c r="I97" s="1" t="s">
        <v>477</v>
      </c>
      <c r="J97" s="1">
        <v>4082443000</v>
      </c>
      <c r="K97" s="1" t="s">
        <v>478</v>
      </c>
      <c r="M97" s="1" t="s">
        <v>479</v>
      </c>
      <c r="N97" s="1" t="s">
        <v>23</v>
      </c>
      <c r="O97" s="1" t="str">
        <f t="shared" si="1"/>
        <v>95070</v>
      </c>
    </row>
    <row r="98" spans="1:15" x14ac:dyDescent="0.2">
      <c r="A98" s="1" t="s">
        <v>474</v>
      </c>
      <c r="B98" s="1" t="s">
        <v>475</v>
      </c>
      <c r="C98" s="1">
        <v>1</v>
      </c>
      <c r="D98" s="2">
        <v>110</v>
      </c>
      <c r="E98" s="1" t="s">
        <v>17</v>
      </c>
      <c r="F98" s="1" t="s">
        <v>483</v>
      </c>
      <c r="G98" s="1" t="s">
        <v>19</v>
      </c>
      <c r="H98" s="3">
        <v>0.83333333333333337</v>
      </c>
      <c r="I98" s="1" t="s">
        <v>477</v>
      </c>
      <c r="J98" s="1">
        <v>4082443000</v>
      </c>
      <c r="K98" s="1" t="s">
        <v>478</v>
      </c>
      <c r="M98" s="1" t="s">
        <v>479</v>
      </c>
      <c r="N98" s="1" t="s">
        <v>23</v>
      </c>
      <c r="O98" s="1" t="str">
        <f t="shared" si="1"/>
        <v>95070</v>
      </c>
    </row>
    <row r="99" spans="1:15" x14ac:dyDescent="0.2">
      <c r="A99" s="1" t="s">
        <v>474</v>
      </c>
      <c r="B99" s="1" t="s">
        <v>475</v>
      </c>
      <c r="C99" s="1">
        <v>1</v>
      </c>
      <c r="D99" s="2">
        <v>110</v>
      </c>
      <c r="E99" s="1" t="s">
        <v>17</v>
      </c>
      <c r="F99" s="1" t="s">
        <v>484</v>
      </c>
      <c r="G99" s="1" t="s">
        <v>19</v>
      </c>
      <c r="H99" s="3">
        <v>0.83333333333333337</v>
      </c>
      <c r="I99" s="1" t="s">
        <v>477</v>
      </c>
      <c r="J99" s="1">
        <v>4082443000</v>
      </c>
      <c r="K99" s="1" t="s">
        <v>478</v>
      </c>
      <c r="M99" s="1" t="s">
        <v>479</v>
      </c>
      <c r="N99" s="1" t="s">
        <v>23</v>
      </c>
      <c r="O99" s="1" t="str">
        <f t="shared" si="1"/>
        <v>95070</v>
      </c>
    </row>
    <row r="100" spans="1:15" x14ac:dyDescent="0.2">
      <c r="A100" s="1" t="s">
        <v>474</v>
      </c>
      <c r="B100" s="1" t="s">
        <v>475</v>
      </c>
      <c r="C100" s="1">
        <v>1</v>
      </c>
      <c r="D100" s="2">
        <v>110</v>
      </c>
      <c r="E100" s="1" t="s">
        <v>17</v>
      </c>
      <c r="F100" s="1" t="s">
        <v>485</v>
      </c>
      <c r="G100" s="1" t="s">
        <v>19</v>
      </c>
      <c r="H100" s="3">
        <v>0.83333333333333337</v>
      </c>
      <c r="I100" s="1" t="s">
        <v>477</v>
      </c>
      <c r="J100" s="1">
        <v>4082443000</v>
      </c>
      <c r="K100" s="1" t="s">
        <v>478</v>
      </c>
      <c r="M100" s="1" t="s">
        <v>479</v>
      </c>
      <c r="N100" s="1" t="s">
        <v>23</v>
      </c>
      <c r="O100" s="1" t="str">
        <f t="shared" si="1"/>
        <v>95070</v>
      </c>
    </row>
    <row r="101" spans="1:15" x14ac:dyDescent="0.2">
      <c r="A101" s="1" t="s">
        <v>474</v>
      </c>
      <c r="B101" s="1" t="s">
        <v>475</v>
      </c>
      <c r="C101" s="1">
        <v>1</v>
      </c>
      <c r="D101" s="2">
        <v>110</v>
      </c>
      <c r="E101" s="1" t="s">
        <v>17</v>
      </c>
      <c r="F101" s="1" t="s">
        <v>486</v>
      </c>
      <c r="G101" s="1" t="s">
        <v>19</v>
      </c>
      <c r="H101" s="3">
        <v>0.83333333333333337</v>
      </c>
      <c r="I101" s="1" t="s">
        <v>477</v>
      </c>
      <c r="J101" s="1">
        <v>4082443000</v>
      </c>
      <c r="K101" s="1" t="s">
        <v>478</v>
      </c>
      <c r="M101" s="1" t="s">
        <v>479</v>
      </c>
      <c r="N101" s="1" t="s">
        <v>23</v>
      </c>
      <c r="O101" s="1" t="str">
        <f t="shared" si="1"/>
        <v>95070</v>
      </c>
    </row>
    <row r="102" spans="1:15" x14ac:dyDescent="0.2">
      <c r="A102" s="1" t="s">
        <v>474</v>
      </c>
      <c r="B102" s="1" t="s">
        <v>475</v>
      </c>
      <c r="C102" s="1">
        <v>1</v>
      </c>
      <c r="D102" s="2">
        <v>110</v>
      </c>
      <c r="E102" s="1" t="s">
        <v>17</v>
      </c>
      <c r="F102" s="1" t="s">
        <v>487</v>
      </c>
      <c r="G102" s="1" t="s">
        <v>19</v>
      </c>
      <c r="H102" s="3">
        <v>0.83333333333333337</v>
      </c>
      <c r="I102" s="1" t="s">
        <v>477</v>
      </c>
      <c r="J102" s="1">
        <v>4082443000</v>
      </c>
      <c r="K102" s="1" t="s">
        <v>478</v>
      </c>
      <c r="M102" s="1" t="s">
        <v>479</v>
      </c>
      <c r="N102" s="1" t="s">
        <v>23</v>
      </c>
      <c r="O102" s="1" t="str">
        <f t="shared" si="1"/>
        <v>95070</v>
      </c>
    </row>
    <row r="103" spans="1:15" x14ac:dyDescent="0.2">
      <c r="A103" s="1" t="s">
        <v>488</v>
      </c>
      <c r="B103" s="1" t="s">
        <v>489</v>
      </c>
      <c r="C103" s="1">
        <v>2</v>
      </c>
      <c r="D103" s="2">
        <v>50</v>
      </c>
      <c r="E103" s="1" t="s">
        <v>17</v>
      </c>
      <c r="F103" s="1" t="s">
        <v>490</v>
      </c>
      <c r="G103" s="1" t="s">
        <v>19</v>
      </c>
      <c r="H103" s="3">
        <v>0.83333333333333337</v>
      </c>
      <c r="I103" s="1" t="s">
        <v>491</v>
      </c>
      <c r="K103" s="1" t="s">
        <v>492</v>
      </c>
      <c r="M103" s="1" t="s">
        <v>493</v>
      </c>
      <c r="N103" s="1" t="s">
        <v>494</v>
      </c>
      <c r="O103" s="1" t="str">
        <f>"33647"</f>
        <v>33647</v>
      </c>
    </row>
    <row r="104" spans="1:15" x14ac:dyDescent="0.2">
      <c r="A104" s="1" t="s">
        <v>495</v>
      </c>
      <c r="B104" s="1" t="s">
        <v>496</v>
      </c>
      <c r="C104" s="1">
        <v>3</v>
      </c>
      <c r="D104" s="2">
        <v>35</v>
      </c>
      <c r="E104" s="1" t="s">
        <v>17</v>
      </c>
      <c r="F104" s="1" t="s">
        <v>497</v>
      </c>
      <c r="G104" s="1" t="s">
        <v>19</v>
      </c>
      <c r="H104" s="3">
        <v>0.83333333333333337</v>
      </c>
      <c r="I104" s="1" t="s">
        <v>498</v>
      </c>
      <c r="J104" s="1">
        <v>4156300436</v>
      </c>
      <c r="K104" s="1" t="s">
        <v>499</v>
      </c>
      <c r="M104" s="1" t="s">
        <v>500</v>
      </c>
      <c r="N104" s="1" t="s">
        <v>23</v>
      </c>
      <c r="O104" s="1" t="str">
        <f>"94517"</f>
        <v>94517</v>
      </c>
    </row>
    <row r="105" spans="1:15" x14ac:dyDescent="0.2">
      <c r="A105" s="1" t="s">
        <v>501</v>
      </c>
      <c r="B105" s="1" t="s">
        <v>502</v>
      </c>
      <c r="C105" s="1">
        <v>3</v>
      </c>
      <c r="D105" s="2">
        <v>50</v>
      </c>
      <c r="E105" s="1" t="s">
        <v>17</v>
      </c>
      <c r="F105" s="1" t="s">
        <v>503</v>
      </c>
      <c r="G105" s="1" t="s">
        <v>19</v>
      </c>
      <c r="H105" s="3">
        <v>0.83333333333333337</v>
      </c>
      <c r="I105" s="1" t="s">
        <v>504</v>
      </c>
      <c r="K105" s="1" t="s">
        <v>505</v>
      </c>
      <c r="M105" s="1" t="s">
        <v>506</v>
      </c>
      <c r="N105" s="1" t="s">
        <v>23</v>
      </c>
      <c r="O105" s="1" t="str">
        <f>"94563"</f>
        <v>94563</v>
      </c>
    </row>
    <row r="106" spans="1:15" x14ac:dyDescent="0.2">
      <c r="A106" s="1" t="s">
        <v>507</v>
      </c>
      <c r="B106" s="1" t="s">
        <v>508</v>
      </c>
      <c r="C106" s="1">
        <v>2</v>
      </c>
      <c r="D106" s="2">
        <v>50</v>
      </c>
      <c r="E106" s="1" t="s">
        <v>17</v>
      </c>
      <c r="F106" s="1" t="s">
        <v>509</v>
      </c>
      <c r="G106" s="1" t="s">
        <v>19</v>
      </c>
      <c r="H106" s="3">
        <v>0.83333333333333337</v>
      </c>
      <c r="I106" s="1" t="s">
        <v>510</v>
      </c>
      <c r="K106" s="1" t="s">
        <v>511</v>
      </c>
      <c r="M106" s="1" t="s">
        <v>512</v>
      </c>
      <c r="N106" s="1" t="s">
        <v>23</v>
      </c>
      <c r="O106" s="1" t="str">
        <f>"94903"</f>
        <v>94903</v>
      </c>
    </row>
    <row r="107" spans="1:15" x14ac:dyDescent="0.2">
      <c r="A107" s="1" t="s">
        <v>513</v>
      </c>
      <c r="B107" s="1" t="s">
        <v>514</v>
      </c>
      <c r="C107" s="1">
        <v>1</v>
      </c>
      <c r="D107" s="2">
        <v>110</v>
      </c>
      <c r="E107" s="1" t="s">
        <v>17</v>
      </c>
      <c r="F107" s="1" t="s">
        <v>515</v>
      </c>
      <c r="G107" s="1" t="s">
        <v>19</v>
      </c>
      <c r="H107" s="3">
        <v>0.83333333333333337</v>
      </c>
      <c r="I107" s="1" t="s">
        <v>516</v>
      </c>
      <c r="K107" s="1" t="s">
        <v>517</v>
      </c>
      <c r="M107" s="1" t="s">
        <v>518</v>
      </c>
      <c r="N107" s="1" t="s">
        <v>23</v>
      </c>
      <c r="O107" s="1" t="str">
        <f>"94025"</f>
        <v>94025</v>
      </c>
    </row>
    <row r="108" spans="1:15" x14ac:dyDescent="0.2">
      <c r="A108" s="1" t="s">
        <v>513</v>
      </c>
      <c r="B108" s="1" t="s">
        <v>514</v>
      </c>
      <c r="C108" s="1">
        <v>1</v>
      </c>
      <c r="D108" s="2">
        <v>110</v>
      </c>
      <c r="E108" s="1" t="s">
        <v>17</v>
      </c>
      <c r="F108" s="1" t="s">
        <v>519</v>
      </c>
      <c r="G108" s="1" t="s">
        <v>19</v>
      </c>
      <c r="H108" s="3">
        <v>0.83333333333333337</v>
      </c>
      <c r="I108" s="1" t="s">
        <v>516</v>
      </c>
      <c r="K108" s="1" t="s">
        <v>517</v>
      </c>
      <c r="M108" s="1" t="s">
        <v>518</v>
      </c>
      <c r="N108" s="1" t="s">
        <v>23</v>
      </c>
      <c r="O108" s="1" t="str">
        <f>"94025"</f>
        <v>94025</v>
      </c>
    </row>
    <row r="109" spans="1:15" x14ac:dyDescent="0.2">
      <c r="A109" s="1" t="s">
        <v>520</v>
      </c>
      <c r="B109" s="1" t="s">
        <v>521</v>
      </c>
      <c r="C109" s="1">
        <v>1</v>
      </c>
      <c r="D109" s="2">
        <v>110</v>
      </c>
      <c r="E109" s="1" t="s">
        <v>17</v>
      </c>
      <c r="F109" s="1" t="s">
        <v>522</v>
      </c>
      <c r="G109" s="1" t="s">
        <v>19</v>
      </c>
      <c r="H109" s="3">
        <v>0.83333333333333337</v>
      </c>
      <c r="I109" s="1" t="s">
        <v>523</v>
      </c>
      <c r="J109" s="1">
        <v>4084104584</v>
      </c>
      <c r="K109" s="1" t="s">
        <v>524</v>
      </c>
      <c r="M109" s="1" t="s">
        <v>100</v>
      </c>
      <c r="N109" s="1" t="s">
        <v>23</v>
      </c>
      <c r="O109" s="1" t="str">
        <f>"95120"</f>
        <v>95120</v>
      </c>
    </row>
    <row r="110" spans="1:15" x14ac:dyDescent="0.2">
      <c r="A110" s="1" t="s">
        <v>520</v>
      </c>
      <c r="B110" s="1" t="s">
        <v>521</v>
      </c>
      <c r="C110" s="1">
        <v>1</v>
      </c>
      <c r="D110" s="2">
        <v>110</v>
      </c>
      <c r="E110" s="1" t="s">
        <v>17</v>
      </c>
      <c r="F110" s="1" t="s">
        <v>525</v>
      </c>
      <c r="G110" s="1" t="s">
        <v>19</v>
      </c>
      <c r="H110" s="3">
        <v>0.83333333333333337</v>
      </c>
      <c r="I110" s="1" t="s">
        <v>523</v>
      </c>
      <c r="J110" s="1">
        <v>4084104584</v>
      </c>
      <c r="K110" s="1" t="s">
        <v>524</v>
      </c>
      <c r="M110" s="1" t="s">
        <v>100</v>
      </c>
      <c r="N110" s="1" t="s">
        <v>23</v>
      </c>
      <c r="O110" s="1" t="str">
        <f>"95120"</f>
        <v>95120</v>
      </c>
    </row>
    <row r="111" spans="1:15" x14ac:dyDescent="0.2">
      <c r="A111" s="1" t="s">
        <v>526</v>
      </c>
      <c r="B111" s="1" t="s">
        <v>527</v>
      </c>
      <c r="C111" s="1">
        <v>2</v>
      </c>
      <c r="D111" s="2">
        <v>35</v>
      </c>
      <c r="E111" s="1" t="s">
        <v>17</v>
      </c>
      <c r="F111" s="1" t="s">
        <v>528</v>
      </c>
      <c r="G111" s="1" t="s">
        <v>19</v>
      </c>
      <c r="H111" s="3">
        <v>0.83333333333333337</v>
      </c>
      <c r="I111" s="1" t="s">
        <v>529</v>
      </c>
      <c r="K111" s="1" t="s">
        <v>530</v>
      </c>
      <c r="L111" s="1" t="s">
        <v>531</v>
      </c>
      <c r="M111" s="1" t="s">
        <v>532</v>
      </c>
      <c r="N111" s="1" t="s">
        <v>23</v>
      </c>
      <c r="O111" s="1" t="str">
        <f>"94608"</f>
        <v>94608</v>
      </c>
    </row>
    <row r="112" spans="1:15" x14ac:dyDescent="0.2">
      <c r="A112" s="1" t="s">
        <v>533</v>
      </c>
      <c r="B112" s="1" t="s">
        <v>534</v>
      </c>
      <c r="C112" s="1">
        <v>3</v>
      </c>
      <c r="D112" s="2">
        <v>50</v>
      </c>
      <c r="E112" s="1" t="s">
        <v>17</v>
      </c>
      <c r="F112" s="1" t="s">
        <v>535</v>
      </c>
      <c r="G112" s="1" t="s">
        <v>19</v>
      </c>
      <c r="H112" s="3">
        <v>0.83333333333333337</v>
      </c>
      <c r="I112" s="1" t="s">
        <v>536</v>
      </c>
      <c r="J112" s="1" t="s">
        <v>537</v>
      </c>
      <c r="K112" s="1" t="s">
        <v>538</v>
      </c>
      <c r="L112" s="1" t="s">
        <v>99</v>
      </c>
      <c r="M112" s="1" t="s">
        <v>327</v>
      </c>
      <c r="N112" s="1" t="s">
        <v>23</v>
      </c>
      <c r="O112" s="1" t="str">
        <f>"94595"</f>
        <v>94595</v>
      </c>
    </row>
    <row r="113" spans="1:15" x14ac:dyDescent="0.2">
      <c r="A113" s="1" t="s">
        <v>539</v>
      </c>
      <c r="B113" s="1" t="s">
        <v>540</v>
      </c>
      <c r="C113" s="1">
        <v>2</v>
      </c>
      <c r="D113" s="2">
        <v>65</v>
      </c>
      <c r="E113" s="1" t="s">
        <v>17</v>
      </c>
      <c r="F113" s="1" t="s">
        <v>541</v>
      </c>
      <c r="G113" s="1" t="s">
        <v>19</v>
      </c>
      <c r="H113" s="3">
        <v>0.83333333333333337</v>
      </c>
      <c r="I113" s="1" t="s">
        <v>542</v>
      </c>
      <c r="K113" s="1" t="s">
        <v>543</v>
      </c>
      <c r="M113" s="1" t="s">
        <v>544</v>
      </c>
      <c r="N113" s="1" t="s">
        <v>23</v>
      </c>
      <c r="O113" s="1" t="str">
        <f>"94547"</f>
        <v>94547</v>
      </c>
    </row>
    <row r="114" spans="1:15" x14ac:dyDescent="0.2">
      <c r="A114" s="1" t="s">
        <v>545</v>
      </c>
      <c r="B114" s="1" t="s">
        <v>546</v>
      </c>
      <c r="C114" s="1">
        <v>4</v>
      </c>
      <c r="D114" s="2">
        <v>35</v>
      </c>
      <c r="E114" s="1" t="s">
        <v>17</v>
      </c>
      <c r="F114" s="1" t="s">
        <v>547</v>
      </c>
      <c r="G114" s="1" t="s">
        <v>19</v>
      </c>
      <c r="H114" s="3">
        <v>0.83333333333333337</v>
      </c>
      <c r="I114" s="1" t="s">
        <v>548</v>
      </c>
      <c r="K114" s="1" t="s">
        <v>549</v>
      </c>
      <c r="M114" s="1" t="s">
        <v>327</v>
      </c>
      <c r="N114" s="1" t="s">
        <v>23</v>
      </c>
      <c r="O114" s="1" t="str">
        <f>"94598"</f>
        <v>94598</v>
      </c>
    </row>
    <row r="115" spans="1:15" x14ac:dyDescent="0.2">
      <c r="A115" s="1" t="s">
        <v>550</v>
      </c>
      <c r="B115" s="1" t="s">
        <v>551</v>
      </c>
      <c r="C115" s="1">
        <v>2</v>
      </c>
      <c r="D115" s="2">
        <v>50</v>
      </c>
      <c r="E115" s="1" t="s">
        <v>17</v>
      </c>
      <c r="F115" s="1" t="s">
        <v>552</v>
      </c>
      <c r="G115" s="1" t="s">
        <v>19</v>
      </c>
      <c r="H115" s="3">
        <v>0.83333333333333337</v>
      </c>
      <c r="I115" s="1" t="s">
        <v>553</v>
      </c>
      <c r="K115" s="1" t="s">
        <v>554</v>
      </c>
      <c r="M115" s="1" t="s">
        <v>555</v>
      </c>
      <c r="N115" s="1" t="s">
        <v>23</v>
      </c>
      <c r="O115" s="1" t="str">
        <f>"95404"</f>
        <v>95404</v>
      </c>
    </row>
    <row r="116" spans="1:15" x14ac:dyDescent="0.2">
      <c r="A116" s="1" t="s">
        <v>556</v>
      </c>
      <c r="B116" s="1" t="s">
        <v>557</v>
      </c>
      <c r="C116" s="1">
        <v>2</v>
      </c>
      <c r="D116" s="2">
        <v>75</v>
      </c>
      <c r="E116" s="1" t="s">
        <v>17</v>
      </c>
      <c r="F116" s="1" t="s">
        <v>558</v>
      </c>
      <c r="G116" s="1" t="s">
        <v>19</v>
      </c>
      <c r="H116" s="3">
        <v>0.83333333333333337</v>
      </c>
      <c r="I116" s="1" t="s">
        <v>553</v>
      </c>
      <c r="J116" s="1">
        <v>7077387714</v>
      </c>
      <c r="K116" s="1" t="s">
        <v>554</v>
      </c>
      <c r="M116" s="1" t="s">
        <v>555</v>
      </c>
      <c r="N116" s="1" t="s">
        <v>23</v>
      </c>
      <c r="O116" s="1" t="str">
        <f>"95404"</f>
        <v>95404</v>
      </c>
    </row>
    <row r="117" spans="1:15" x14ac:dyDescent="0.2">
      <c r="A117" s="1" t="s">
        <v>559</v>
      </c>
      <c r="B117" s="1" t="s">
        <v>200</v>
      </c>
      <c r="C117" s="1">
        <v>2</v>
      </c>
      <c r="D117" s="2">
        <v>50</v>
      </c>
      <c r="E117" s="1" t="s">
        <v>17</v>
      </c>
      <c r="F117" s="1" t="s">
        <v>560</v>
      </c>
      <c r="G117" s="1" t="s">
        <v>19</v>
      </c>
      <c r="H117" s="3">
        <v>0.83333333333333337</v>
      </c>
      <c r="I117" s="1" t="s">
        <v>561</v>
      </c>
      <c r="K117" s="1" t="s">
        <v>562</v>
      </c>
      <c r="M117" s="1" t="s">
        <v>563</v>
      </c>
      <c r="N117" s="1" t="s">
        <v>23</v>
      </c>
      <c r="O117" s="1" t="str">
        <f>"94903"</f>
        <v>94903</v>
      </c>
    </row>
    <row r="118" spans="1:15" x14ac:dyDescent="0.2">
      <c r="A118" s="1" t="s">
        <v>564</v>
      </c>
      <c r="B118" s="1" t="s">
        <v>565</v>
      </c>
      <c r="C118" s="1">
        <v>3</v>
      </c>
      <c r="D118" s="2">
        <v>50</v>
      </c>
      <c r="E118" s="1" t="s">
        <v>17</v>
      </c>
      <c r="F118" s="1" t="s">
        <v>566</v>
      </c>
      <c r="G118" s="1" t="s">
        <v>19</v>
      </c>
      <c r="H118" s="3">
        <v>0.83333333333333337</v>
      </c>
      <c r="I118" s="1" t="s">
        <v>567</v>
      </c>
      <c r="K118" s="1" t="s">
        <v>568</v>
      </c>
      <c r="M118" s="1" t="s">
        <v>569</v>
      </c>
      <c r="N118" s="1" t="s">
        <v>23</v>
      </c>
      <c r="O118" s="1" t="str">
        <f>"94618"</f>
        <v>94618</v>
      </c>
    </row>
    <row r="119" spans="1:15" x14ac:dyDescent="0.2">
      <c r="A119" s="1" t="s">
        <v>570</v>
      </c>
      <c r="B119" s="1" t="s">
        <v>571</v>
      </c>
      <c r="C119" s="1">
        <v>3</v>
      </c>
      <c r="D119" s="2">
        <v>35</v>
      </c>
      <c r="E119" s="1" t="s">
        <v>17</v>
      </c>
      <c r="F119" s="1" t="s">
        <v>572</v>
      </c>
      <c r="G119" s="1" t="s">
        <v>19</v>
      </c>
      <c r="H119" s="3">
        <v>0.83333333333333337</v>
      </c>
      <c r="I119" s="1" t="s">
        <v>573</v>
      </c>
      <c r="J119" s="1">
        <v>8183346361</v>
      </c>
      <c r="K119" s="1" t="s">
        <v>574</v>
      </c>
      <c r="M119" s="1" t="s">
        <v>575</v>
      </c>
      <c r="N119" s="1" t="s">
        <v>23</v>
      </c>
      <c r="O119" s="1" t="str">
        <f>"91502"</f>
        <v>91502</v>
      </c>
    </row>
    <row r="120" spans="1:15" x14ac:dyDescent="0.2">
      <c r="A120" s="1" t="s">
        <v>576</v>
      </c>
      <c r="B120" s="1" t="s">
        <v>77</v>
      </c>
      <c r="C120" s="1">
        <v>2</v>
      </c>
      <c r="D120" s="2">
        <v>65</v>
      </c>
      <c r="E120" s="1" t="s">
        <v>17</v>
      </c>
      <c r="F120" s="1" t="s">
        <v>577</v>
      </c>
      <c r="G120" s="1" t="s">
        <v>19</v>
      </c>
      <c r="H120" s="3">
        <v>0.83333333333333337</v>
      </c>
      <c r="I120" s="1" t="s">
        <v>578</v>
      </c>
      <c r="K120" s="1" t="s">
        <v>579</v>
      </c>
      <c r="M120" s="1" t="s">
        <v>580</v>
      </c>
      <c r="N120" s="1" t="s">
        <v>23</v>
      </c>
      <c r="O120" s="1" t="str">
        <f>"95148"</f>
        <v>95148</v>
      </c>
    </row>
    <row r="121" spans="1:15" x14ac:dyDescent="0.2">
      <c r="A121" s="1" t="s">
        <v>581</v>
      </c>
      <c r="B121" s="1" t="s">
        <v>582</v>
      </c>
      <c r="C121" s="1">
        <v>1</v>
      </c>
      <c r="D121" s="2">
        <v>125</v>
      </c>
      <c r="E121" s="1" t="s">
        <v>17</v>
      </c>
      <c r="F121" s="1" t="s">
        <v>583</v>
      </c>
      <c r="G121" s="1" t="s">
        <v>19</v>
      </c>
      <c r="H121" s="3">
        <v>0.83333333333333337</v>
      </c>
      <c r="I121" s="1" t="s">
        <v>584</v>
      </c>
      <c r="K121" s="1" t="s">
        <v>585</v>
      </c>
      <c r="M121" s="1" t="s">
        <v>580</v>
      </c>
      <c r="N121" s="1" t="s">
        <v>23</v>
      </c>
      <c r="O121" s="1" t="str">
        <f>"95136"</f>
        <v>95136</v>
      </c>
    </row>
    <row r="122" spans="1:15" x14ac:dyDescent="0.2">
      <c r="A122" s="1" t="s">
        <v>586</v>
      </c>
      <c r="B122" s="1" t="s">
        <v>587</v>
      </c>
      <c r="C122" s="1">
        <v>2</v>
      </c>
      <c r="D122" s="2">
        <v>65</v>
      </c>
      <c r="E122" s="1" t="s">
        <v>17</v>
      </c>
      <c r="F122" s="1" t="s">
        <v>588</v>
      </c>
      <c r="G122" s="1" t="s">
        <v>19</v>
      </c>
      <c r="H122" s="3">
        <v>0.83333333333333337</v>
      </c>
      <c r="I122" s="1" t="s">
        <v>589</v>
      </c>
      <c r="K122" s="1" t="s">
        <v>590</v>
      </c>
      <c r="M122" s="1" t="s">
        <v>591</v>
      </c>
      <c r="N122" s="1" t="s">
        <v>23</v>
      </c>
      <c r="O122" s="1" t="str">
        <f>"94618"</f>
        <v>94618</v>
      </c>
    </row>
    <row r="123" spans="1:15" x14ac:dyDescent="0.2">
      <c r="A123" s="1" t="s">
        <v>592</v>
      </c>
      <c r="B123" s="1" t="s">
        <v>593</v>
      </c>
      <c r="C123" s="1">
        <v>4</v>
      </c>
      <c r="D123" s="2">
        <v>50</v>
      </c>
      <c r="E123" s="1" t="s">
        <v>17</v>
      </c>
      <c r="F123" s="1" t="s">
        <v>594</v>
      </c>
      <c r="G123" s="1" t="s">
        <v>19</v>
      </c>
      <c r="H123" s="3">
        <v>0.83333333333333337</v>
      </c>
      <c r="I123" s="1" t="s">
        <v>595</v>
      </c>
      <c r="J123" s="1">
        <v>3236940878</v>
      </c>
      <c r="K123" s="1" t="s">
        <v>338</v>
      </c>
      <c r="M123" s="1" t="s">
        <v>283</v>
      </c>
      <c r="N123" s="1" t="s">
        <v>23</v>
      </c>
      <c r="O123" s="1" t="str">
        <f>"92679"</f>
        <v>92679</v>
      </c>
    </row>
    <row r="124" spans="1:15" x14ac:dyDescent="0.2">
      <c r="A124" s="1" t="s">
        <v>592</v>
      </c>
      <c r="B124" s="1" t="s">
        <v>593</v>
      </c>
      <c r="C124" s="1">
        <v>2</v>
      </c>
      <c r="D124" s="2">
        <v>35</v>
      </c>
      <c r="E124" s="1" t="s">
        <v>17</v>
      </c>
      <c r="F124" s="1" t="s">
        <v>596</v>
      </c>
      <c r="G124" s="1" t="s">
        <v>19</v>
      </c>
      <c r="H124" s="3">
        <v>0.83333333333333337</v>
      </c>
      <c r="I124" s="1" t="s">
        <v>595</v>
      </c>
      <c r="J124" s="1">
        <v>3236940878</v>
      </c>
      <c r="K124" s="1" t="s">
        <v>338</v>
      </c>
      <c r="M124" s="1" t="s">
        <v>283</v>
      </c>
      <c r="N124" s="1" t="s">
        <v>23</v>
      </c>
      <c r="O124" s="1" t="str">
        <f>"92679"</f>
        <v>92679</v>
      </c>
    </row>
    <row r="125" spans="1:15" x14ac:dyDescent="0.2">
      <c r="A125" s="1" t="s">
        <v>597</v>
      </c>
      <c r="B125" s="1" t="s">
        <v>598</v>
      </c>
      <c r="C125" s="1">
        <v>2</v>
      </c>
      <c r="D125" s="2">
        <v>50</v>
      </c>
      <c r="E125" s="1" t="s">
        <v>17</v>
      </c>
      <c r="F125" s="1" t="s">
        <v>599</v>
      </c>
      <c r="G125" s="1" t="s">
        <v>19</v>
      </c>
      <c r="H125" s="3">
        <v>0.83333333333333337</v>
      </c>
      <c r="I125" s="1" t="s">
        <v>600</v>
      </c>
      <c r="J125" s="1">
        <v>3109871777</v>
      </c>
      <c r="K125" s="1" t="s">
        <v>601</v>
      </c>
      <c r="M125" s="1" t="s">
        <v>602</v>
      </c>
      <c r="N125" s="1" t="s">
        <v>23</v>
      </c>
      <c r="O125" s="1" t="str">
        <f>"91607"</f>
        <v>91607</v>
      </c>
    </row>
    <row r="126" spans="1:15" x14ac:dyDescent="0.2">
      <c r="A126" s="1" t="s">
        <v>603</v>
      </c>
      <c r="B126" s="1" t="s">
        <v>604</v>
      </c>
      <c r="C126" s="1">
        <v>1</v>
      </c>
      <c r="D126" s="2">
        <v>0</v>
      </c>
      <c r="E126" s="1" t="s">
        <v>27</v>
      </c>
      <c r="F126" s="1" t="s">
        <v>605</v>
      </c>
      <c r="G126" s="1" t="s">
        <v>19</v>
      </c>
      <c r="H126" s="3">
        <v>0.83333333333333337</v>
      </c>
      <c r="I126" s="1" t="s">
        <v>606</v>
      </c>
      <c r="K126" s="1" t="s">
        <v>607</v>
      </c>
      <c r="L126" s="1" t="s">
        <v>608</v>
      </c>
      <c r="M126" s="1" t="s">
        <v>170</v>
      </c>
      <c r="N126" s="1" t="s">
        <v>23</v>
      </c>
      <c r="O126" s="1" t="str">
        <f>"94541"</f>
        <v>94541</v>
      </c>
    </row>
    <row r="127" spans="1:15" x14ac:dyDescent="0.2">
      <c r="A127" s="1" t="s">
        <v>603</v>
      </c>
      <c r="B127" s="1" t="s">
        <v>604</v>
      </c>
      <c r="C127" s="1">
        <v>1</v>
      </c>
      <c r="D127" s="2">
        <v>35</v>
      </c>
      <c r="E127" s="1" t="s">
        <v>17</v>
      </c>
      <c r="F127" s="1" t="s">
        <v>609</v>
      </c>
      <c r="G127" s="1" t="s">
        <v>19</v>
      </c>
      <c r="H127" s="3">
        <v>0.83333333333333337</v>
      </c>
      <c r="I127" s="1" t="s">
        <v>606</v>
      </c>
      <c r="K127" s="1" t="s">
        <v>607</v>
      </c>
      <c r="L127" s="1" t="s">
        <v>608</v>
      </c>
      <c r="M127" s="1" t="s">
        <v>170</v>
      </c>
      <c r="N127" s="1" t="s">
        <v>23</v>
      </c>
      <c r="O127" s="1" t="str">
        <f>"94541"</f>
        <v>94541</v>
      </c>
    </row>
    <row r="128" spans="1:15" x14ac:dyDescent="0.2">
      <c r="A128" s="1" t="s">
        <v>610</v>
      </c>
      <c r="B128" s="1" t="s">
        <v>611</v>
      </c>
      <c r="C128" s="1">
        <v>2</v>
      </c>
      <c r="D128" s="2">
        <v>35</v>
      </c>
      <c r="E128" s="1" t="s">
        <v>17</v>
      </c>
      <c r="F128" s="1" t="s">
        <v>612</v>
      </c>
      <c r="G128" s="1" t="s">
        <v>19</v>
      </c>
      <c r="H128" s="3">
        <v>0.83333333333333337</v>
      </c>
      <c r="I128" s="1" t="s">
        <v>613</v>
      </c>
      <c r="K128" s="1" t="s">
        <v>614</v>
      </c>
      <c r="L128" s="1">
        <v>405</v>
      </c>
      <c r="M128" s="1" t="s">
        <v>327</v>
      </c>
      <c r="N128" s="1" t="s">
        <v>23</v>
      </c>
      <c r="O128" s="1" t="str">
        <f>"94596"</f>
        <v>94596</v>
      </c>
    </row>
    <row r="129" spans="1:15" x14ac:dyDescent="0.2">
      <c r="A129" s="1" t="s">
        <v>615</v>
      </c>
      <c r="B129" s="1" t="s">
        <v>616</v>
      </c>
      <c r="C129" s="1">
        <v>3</v>
      </c>
      <c r="D129" s="2">
        <v>50</v>
      </c>
      <c r="E129" s="1" t="s">
        <v>17</v>
      </c>
      <c r="F129" s="1" t="s">
        <v>617</v>
      </c>
      <c r="G129" s="1" t="s">
        <v>19</v>
      </c>
      <c r="H129" s="3">
        <v>0.83333333333333337</v>
      </c>
      <c r="I129" s="1" t="s">
        <v>618</v>
      </c>
      <c r="K129" s="1" t="s">
        <v>619</v>
      </c>
      <c r="M129" s="1" t="s">
        <v>620</v>
      </c>
      <c r="N129" s="1" t="s">
        <v>23</v>
      </c>
      <c r="O129" s="1" t="str">
        <f>"94954-6833"</f>
        <v>94954-6833</v>
      </c>
    </row>
    <row r="130" spans="1:15" x14ac:dyDescent="0.2">
      <c r="A130" s="1" t="s">
        <v>621</v>
      </c>
      <c r="B130" s="1" t="s">
        <v>622</v>
      </c>
      <c r="C130" s="1">
        <v>2</v>
      </c>
      <c r="D130" s="2">
        <v>65</v>
      </c>
      <c r="E130" s="1" t="s">
        <v>17</v>
      </c>
      <c r="F130" s="1" t="s">
        <v>623</v>
      </c>
      <c r="G130" s="1" t="s">
        <v>19</v>
      </c>
      <c r="H130" s="3">
        <v>0.83333333333333337</v>
      </c>
      <c r="I130" s="1" t="s">
        <v>624</v>
      </c>
      <c r="K130" s="1" t="s">
        <v>625</v>
      </c>
      <c r="M130" s="1" t="s">
        <v>626</v>
      </c>
      <c r="N130" s="1" t="s">
        <v>23</v>
      </c>
      <c r="O130" s="1" t="str">
        <f>"94707"</f>
        <v>94707</v>
      </c>
    </row>
    <row r="131" spans="1:15" x14ac:dyDescent="0.2">
      <c r="A131" s="1" t="s">
        <v>627</v>
      </c>
      <c r="B131" s="1" t="s">
        <v>628</v>
      </c>
      <c r="C131" s="1">
        <v>6</v>
      </c>
      <c r="D131" s="2">
        <v>110</v>
      </c>
      <c r="E131" s="1" t="s">
        <v>17</v>
      </c>
      <c r="F131" s="1" t="s">
        <v>629</v>
      </c>
      <c r="G131" s="1" t="s">
        <v>19</v>
      </c>
      <c r="H131" s="3">
        <v>0.83333333333333337</v>
      </c>
      <c r="I131" s="1" t="s">
        <v>630</v>
      </c>
      <c r="K131" s="1" t="s">
        <v>631</v>
      </c>
      <c r="M131" s="1" t="s">
        <v>632</v>
      </c>
      <c r="N131" s="1" t="s">
        <v>23</v>
      </c>
      <c r="O131" s="1" t="str">
        <f>"94080"</f>
        <v>94080</v>
      </c>
    </row>
    <row r="132" spans="1:15" x14ac:dyDescent="0.2">
      <c r="A132" s="1" t="s">
        <v>633</v>
      </c>
      <c r="B132" s="1" t="s">
        <v>634</v>
      </c>
      <c r="C132" s="1">
        <v>3</v>
      </c>
      <c r="D132" s="2">
        <v>65</v>
      </c>
      <c r="E132" s="1" t="s">
        <v>17</v>
      </c>
      <c r="F132" s="1" t="s">
        <v>635</v>
      </c>
      <c r="G132" s="1" t="s">
        <v>19</v>
      </c>
      <c r="H132" s="3">
        <v>0.83333333333333337</v>
      </c>
      <c r="I132" s="1" t="s">
        <v>636</v>
      </c>
      <c r="K132" s="1" t="s">
        <v>637</v>
      </c>
      <c r="L132" s="1" t="s">
        <v>638</v>
      </c>
      <c r="M132" s="1" t="s">
        <v>639</v>
      </c>
      <c r="N132" s="1" t="s">
        <v>23</v>
      </c>
      <c r="O132" s="1" t="str">
        <f>"92130"</f>
        <v>92130</v>
      </c>
    </row>
    <row r="133" spans="1:15" x14ac:dyDescent="0.2">
      <c r="A133" s="1" t="s">
        <v>640</v>
      </c>
      <c r="B133" s="1" t="s">
        <v>641</v>
      </c>
      <c r="C133" s="1">
        <v>4</v>
      </c>
      <c r="D133" s="2">
        <v>65</v>
      </c>
      <c r="E133" s="1" t="s">
        <v>17</v>
      </c>
      <c r="F133" s="1" t="s">
        <v>642</v>
      </c>
      <c r="G133" s="1" t="s">
        <v>19</v>
      </c>
      <c r="H133" s="3">
        <v>0.83333333333333337</v>
      </c>
      <c r="I133" s="1" t="s">
        <v>643</v>
      </c>
      <c r="K133" s="1" t="s">
        <v>644</v>
      </c>
      <c r="M133" s="1" t="s">
        <v>569</v>
      </c>
      <c r="N133" s="1" t="s">
        <v>23</v>
      </c>
      <c r="O133" s="1" t="str">
        <f>"94618"</f>
        <v>94618</v>
      </c>
    </row>
    <row r="134" spans="1:15" x14ac:dyDescent="0.2">
      <c r="A134" s="1" t="s">
        <v>645</v>
      </c>
      <c r="B134" s="1" t="s">
        <v>496</v>
      </c>
      <c r="C134" s="1">
        <v>9</v>
      </c>
      <c r="D134" s="2">
        <v>50</v>
      </c>
      <c r="E134" s="1" t="s">
        <v>17</v>
      </c>
      <c r="F134" s="1" t="s">
        <v>646</v>
      </c>
      <c r="G134" s="1" t="s">
        <v>19</v>
      </c>
      <c r="H134" s="3">
        <v>0.83333333333333337</v>
      </c>
      <c r="I134" s="1" t="s">
        <v>647</v>
      </c>
      <c r="K134" s="1" t="s">
        <v>648</v>
      </c>
      <c r="M134" s="1" t="s">
        <v>649</v>
      </c>
      <c r="N134" s="1" t="s">
        <v>23</v>
      </c>
      <c r="O134" s="1" t="str">
        <f>"94597"</f>
        <v>94597</v>
      </c>
    </row>
    <row r="135" spans="1:15" x14ac:dyDescent="0.2">
      <c r="A135" s="1" t="s">
        <v>650</v>
      </c>
      <c r="B135" s="1" t="s">
        <v>651</v>
      </c>
      <c r="C135" s="1">
        <v>3</v>
      </c>
      <c r="D135" s="2">
        <v>65</v>
      </c>
      <c r="E135" s="1" t="s">
        <v>17</v>
      </c>
      <c r="F135" s="1" t="s">
        <v>652</v>
      </c>
      <c r="G135" s="1" t="s">
        <v>19</v>
      </c>
      <c r="H135" s="3">
        <v>0.83333333333333337</v>
      </c>
      <c r="I135" s="1" t="s">
        <v>653</v>
      </c>
      <c r="K135" s="1" t="s">
        <v>654</v>
      </c>
      <c r="M135" s="1" t="s">
        <v>655</v>
      </c>
      <c r="N135" s="1" t="s">
        <v>23</v>
      </c>
      <c r="O135" s="1" t="str">
        <f>"94605"</f>
        <v>94605</v>
      </c>
    </row>
    <row r="136" spans="1:15" x14ac:dyDescent="0.2">
      <c r="A136" s="1" t="s">
        <v>656</v>
      </c>
      <c r="B136" s="1" t="s">
        <v>657</v>
      </c>
      <c r="C136" s="1">
        <v>5</v>
      </c>
      <c r="D136" s="2">
        <v>65</v>
      </c>
      <c r="E136" s="1" t="s">
        <v>17</v>
      </c>
      <c r="F136" s="1" t="s">
        <v>658</v>
      </c>
      <c r="G136" s="1" t="s">
        <v>19</v>
      </c>
      <c r="H136" s="3">
        <v>0.83333333333333337</v>
      </c>
      <c r="I136" s="1" t="s">
        <v>659</v>
      </c>
      <c r="K136" s="1" t="s">
        <v>660</v>
      </c>
      <c r="L136" s="1" t="s">
        <v>661</v>
      </c>
      <c r="M136" s="1" t="s">
        <v>51</v>
      </c>
      <c r="N136" s="1" t="s">
        <v>23</v>
      </c>
      <c r="O136" s="1" t="str">
        <f>"94109"</f>
        <v>94109</v>
      </c>
    </row>
    <row r="137" spans="1:15" x14ac:dyDescent="0.2">
      <c r="A137" s="1" t="s">
        <v>662</v>
      </c>
      <c r="B137" s="1" t="s">
        <v>663</v>
      </c>
      <c r="C137" s="1">
        <v>2</v>
      </c>
      <c r="D137" s="2">
        <v>75</v>
      </c>
      <c r="E137" s="1" t="s">
        <v>17</v>
      </c>
      <c r="F137" s="1" t="s">
        <v>664</v>
      </c>
      <c r="G137" s="1" t="s">
        <v>19</v>
      </c>
      <c r="H137" s="3">
        <v>0.83333333333333337</v>
      </c>
      <c r="I137" s="1" t="s">
        <v>665</v>
      </c>
      <c r="J137" s="1">
        <v>4152726930</v>
      </c>
      <c r="K137" s="1" t="s">
        <v>666</v>
      </c>
      <c r="L137" s="1" t="s">
        <v>667</v>
      </c>
      <c r="M137" s="1" t="s">
        <v>51</v>
      </c>
      <c r="N137" s="1" t="s">
        <v>23</v>
      </c>
      <c r="O137" s="1" t="str">
        <f>"94111"</f>
        <v>94111</v>
      </c>
    </row>
    <row r="138" spans="1:15" x14ac:dyDescent="0.2">
      <c r="A138" s="1" t="s">
        <v>668</v>
      </c>
      <c r="B138" s="1" t="s">
        <v>669</v>
      </c>
      <c r="C138" s="1">
        <v>4</v>
      </c>
      <c r="D138" s="2">
        <v>50</v>
      </c>
      <c r="E138" s="1" t="s">
        <v>17</v>
      </c>
      <c r="F138" s="1" t="s">
        <v>670</v>
      </c>
      <c r="G138" s="1" t="s">
        <v>19</v>
      </c>
      <c r="H138" s="3">
        <v>0.83333333333333337</v>
      </c>
      <c r="I138" s="1" t="s">
        <v>671</v>
      </c>
      <c r="J138" s="1">
        <v>4044052830</v>
      </c>
      <c r="K138" s="1" t="s">
        <v>672</v>
      </c>
      <c r="M138" s="1" t="s">
        <v>673</v>
      </c>
      <c r="N138" s="1" t="s">
        <v>23</v>
      </c>
      <c r="O138" s="1" t="str">
        <f>"94305"</f>
        <v>94305</v>
      </c>
    </row>
    <row r="139" spans="1:15" x14ac:dyDescent="0.2">
      <c r="A139" s="1" t="s">
        <v>674</v>
      </c>
      <c r="B139" s="1" t="s">
        <v>675</v>
      </c>
      <c r="C139" s="1">
        <v>4</v>
      </c>
      <c r="D139" s="2">
        <v>50</v>
      </c>
      <c r="E139" s="1" t="s">
        <v>17</v>
      </c>
      <c r="F139" s="1" t="s">
        <v>676</v>
      </c>
      <c r="G139" s="1" t="s">
        <v>19</v>
      </c>
      <c r="H139" s="3">
        <v>0.83333333333333337</v>
      </c>
      <c r="I139" s="1" t="s">
        <v>677</v>
      </c>
      <c r="K139" s="1" t="s">
        <v>678</v>
      </c>
      <c r="M139" s="1" t="s">
        <v>679</v>
      </c>
      <c r="N139" s="1" t="s">
        <v>23</v>
      </c>
      <c r="O139" s="1" t="str">
        <f>"91607"</f>
        <v>91607</v>
      </c>
    </row>
    <row r="140" spans="1:15" x14ac:dyDescent="0.2">
      <c r="A140" s="1" t="s">
        <v>674</v>
      </c>
      <c r="B140" s="1" t="s">
        <v>675</v>
      </c>
      <c r="C140" s="1">
        <v>2</v>
      </c>
      <c r="D140" s="2">
        <v>65</v>
      </c>
      <c r="E140" s="1" t="s">
        <v>17</v>
      </c>
      <c r="F140" s="1" t="s">
        <v>680</v>
      </c>
      <c r="G140" s="1" t="s">
        <v>19</v>
      </c>
      <c r="H140" s="3">
        <v>0.83333333333333337</v>
      </c>
      <c r="I140" s="1" t="s">
        <v>681</v>
      </c>
      <c r="K140" s="1" t="s">
        <v>678</v>
      </c>
      <c r="M140" s="1" t="s">
        <v>679</v>
      </c>
      <c r="N140" s="1" t="s">
        <v>23</v>
      </c>
      <c r="O140" s="1" t="str">
        <f>"91607"</f>
        <v>91607</v>
      </c>
    </row>
    <row r="141" spans="1:15" x14ac:dyDescent="0.2">
      <c r="A141" s="1" t="s">
        <v>682</v>
      </c>
      <c r="B141" s="1" t="s">
        <v>683</v>
      </c>
      <c r="C141" s="1">
        <v>1</v>
      </c>
      <c r="D141" s="2">
        <v>35</v>
      </c>
      <c r="E141" s="1" t="s">
        <v>17</v>
      </c>
      <c r="F141" s="1" t="s">
        <v>684</v>
      </c>
      <c r="G141" s="1" t="s">
        <v>19</v>
      </c>
      <c r="H141" s="3">
        <v>0.83333333333333337</v>
      </c>
      <c r="I141" s="1" t="s">
        <v>685</v>
      </c>
      <c r="K141" s="1" t="s">
        <v>686</v>
      </c>
      <c r="L141" s="1">
        <v>203</v>
      </c>
      <c r="M141" s="1" t="s">
        <v>264</v>
      </c>
      <c r="N141" s="1" t="s">
        <v>23</v>
      </c>
      <c r="O141" s="1" t="str">
        <f>"94010"</f>
        <v>94010</v>
      </c>
    </row>
    <row r="142" spans="1:15" x14ac:dyDescent="0.2">
      <c r="A142" s="1" t="s">
        <v>687</v>
      </c>
      <c r="B142" s="1" t="s">
        <v>688</v>
      </c>
      <c r="C142" s="1">
        <v>3</v>
      </c>
      <c r="D142" s="2">
        <v>0</v>
      </c>
      <c r="E142" s="1" t="s">
        <v>27</v>
      </c>
      <c r="F142" s="1" t="s">
        <v>689</v>
      </c>
      <c r="G142" s="1" t="s">
        <v>19</v>
      </c>
      <c r="H142" s="3">
        <v>0.83333333333333337</v>
      </c>
      <c r="I142" s="1" t="s">
        <v>690</v>
      </c>
      <c r="J142" s="1">
        <v>0</v>
      </c>
      <c r="K142" s="1" t="s">
        <v>691</v>
      </c>
      <c r="M142" s="1" t="s">
        <v>691</v>
      </c>
      <c r="N142" s="1" t="s">
        <v>23</v>
      </c>
      <c r="O142" s="1" t="str">
        <f>"99999"</f>
        <v>99999</v>
      </c>
    </row>
    <row r="143" spans="1:15" x14ac:dyDescent="0.2">
      <c r="A143" s="1" t="s">
        <v>692</v>
      </c>
      <c r="B143" s="1" t="s">
        <v>693</v>
      </c>
      <c r="C143" s="1">
        <v>1</v>
      </c>
      <c r="D143" s="2">
        <v>0</v>
      </c>
      <c r="E143" s="1" t="s">
        <v>27</v>
      </c>
      <c r="F143" s="1" t="s">
        <v>694</v>
      </c>
      <c r="G143" s="1" t="s">
        <v>19</v>
      </c>
      <c r="H143" s="3">
        <v>0.83333333333333337</v>
      </c>
      <c r="I143" s="1" t="s">
        <v>695</v>
      </c>
      <c r="J143" s="1" t="s">
        <v>421</v>
      </c>
      <c r="K143" s="1" t="s">
        <v>204</v>
      </c>
      <c r="M143" s="1" t="s">
        <v>204</v>
      </c>
      <c r="N143" s="1" t="s">
        <v>23</v>
      </c>
      <c r="O143" s="1" t="str">
        <f>"00000"</f>
        <v>00000</v>
      </c>
    </row>
    <row r="144" spans="1:15" x14ac:dyDescent="0.2">
      <c r="A144" s="1" t="s">
        <v>692</v>
      </c>
      <c r="B144" s="1" t="s">
        <v>693</v>
      </c>
      <c r="C144" s="1">
        <v>1</v>
      </c>
      <c r="D144" s="2">
        <v>0</v>
      </c>
      <c r="E144" s="1" t="s">
        <v>27</v>
      </c>
      <c r="F144" s="1" t="s">
        <v>696</v>
      </c>
      <c r="G144" s="1" t="s">
        <v>19</v>
      </c>
      <c r="H144" s="3">
        <v>0.83333333333333337</v>
      </c>
      <c r="I144" s="1" t="s">
        <v>695</v>
      </c>
      <c r="J144" s="1" t="s">
        <v>421</v>
      </c>
      <c r="K144" s="1" t="s">
        <v>204</v>
      </c>
      <c r="M144" s="1" t="s">
        <v>204</v>
      </c>
      <c r="N144" s="1" t="s">
        <v>23</v>
      </c>
      <c r="O144" s="1" t="str">
        <f>"00000"</f>
        <v>00000</v>
      </c>
    </row>
    <row r="145" spans="1:15" x14ac:dyDescent="0.2">
      <c r="A145" s="1" t="s">
        <v>692</v>
      </c>
      <c r="B145" s="1" t="s">
        <v>693</v>
      </c>
      <c r="C145" s="1">
        <v>1</v>
      </c>
      <c r="D145" s="2">
        <v>0</v>
      </c>
      <c r="E145" s="1" t="s">
        <v>27</v>
      </c>
      <c r="F145" s="1" t="s">
        <v>697</v>
      </c>
      <c r="G145" s="1" t="s">
        <v>19</v>
      </c>
      <c r="H145" s="3">
        <v>0.83333333333333337</v>
      </c>
      <c r="I145" s="1" t="s">
        <v>695</v>
      </c>
      <c r="J145" s="1" t="s">
        <v>421</v>
      </c>
      <c r="K145" s="1" t="s">
        <v>204</v>
      </c>
      <c r="M145" s="1" t="s">
        <v>204</v>
      </c>
      <c r="N145" s="1" t="s">
        <v>23</v>
      </c>
      <c r="O145" s="1" t="str">
        <f>"00000"</f>
        <v>00000</v>
      </c>
    </row>
    <row r="146" spans="1:15" x14ac:dyDescent="0.2">
      <c r="A146" s="1" t="s">
        <v>698</v>
      </c>
      <c r="B146" s="1" t="s">
        <v>699</v>
      </c>
      <c r="C146" s="1">
        <v>1</v>
      </c>
      <c r="D146" s="2">
        <v>125</v>
      </c>
      <c r="E146" s="1" t="s">
        <v>17</v>
      </c>
      <c r="F146" s="1" t="s">
        <v>700</v>
      </c>
      <c r="G146" s="1" t="s">
        <v>19</v>
      </c>
      <c r="H146" s="3">
        <v>0.83333333333333337</v>
      </c>
      <c r="I146" s="1" t="s">
        <v>701</v>
      </c>
      <c r="K146" s="1" t="s">
        <v>702</v>
      </c>
      <c r="L146" s="1" t="s">
        <v>703</v>
      </c>
      <c r="M146" s="1" t="s">
        <v>305</v>
      </c>
      <c r="N146" s="1" t="s">
        <v>23</v>
      </c>
      <c r="O146" s="1" t="str">
        <f>"94123"</f>
        <v>94123</v>
      </c>
    </row>
    <row r="147" spans="1:15" x14ac:dyDescent="0.2">
      <c r="A147" s="1" t="s">
        <v>704</v>
      </c>
      <c r="B147" s="1" t="s">
        <v>705</v>
      </c>
      <c r="C147" s="1">
        <v>2</v>
      </c>
      <c r="D147" s="2">
        <v>50</v>
      </c>
      <c r="E147" s="1" t="s">
        <v>17</v>
      </c>
      <c r="F147" s="1" t="s">
        <v>706</v>
      </c>
      <c r="G147" s="1" t="s">
        <v>19</v>
      </c>
      <c r="H147" s="3">
        <v>0.83333333333333337</v>
      </c>
      <c r="I147" s="1" t="s">
        <v>707</v>
      </c>
      <c r="J147" s="1">
        <v>6507300302</v>
      </c>
      <c r="K147" s="1" t="s">
        <v>708</v>
      </c>
      <c r="M147" s="1" t="s">
        <v>709</v>
      </c>
      <c r="N147" s="1" t="s">
        <v>23</v>
      </c>
      <c r="O147" s="1" t="str">
        <f>"94065"</f>
        <v>94065</v>
      </c>
    </row>
    <row r="148" spans="1:15" x14ac:dyDescent="0.2">
      <c r="A148" s="1" t="s">
        <v>710</v>
      </c>
      <c r="B148" s="1" t="s">
        <v>711</v>
      </c>
      <c r="C148" s="1">
        <v>1</v>
      </c>
      <c r="D148" s="2">
        <v>110</v>
      </c>
      <c r="E148" s="1" t="s">
        <v>17</v>
      </c>
      <c r="F148" s="1" t="s">
        <v>712</v>
      </c>
      <c r="G148" s="1" t="s">
        <v>19</v>
      </c>
      <c r="H148" s="3">
        <v>0.83333333333333337</v>
      </c>
      <c r="I148" s="1" t="s">
        <v>713</v>
      </c>
      <c r="K148" s="1" t="s">
        <v>714</v>
      </c>
      <c r="M148" s="1" t="s">
        <v>715</v>
      </c>
      <c r="N148" s="1" t="s">
        <v>23</v>
      </c>
      <c r="O148" s="1" t="str">
        <f>"93101"</f>
        <v>93101</v>
      </c>
    </row>
    <row r="149" spans="1:15" x14ac:dyDescent="0.2">
      <c r="A149" s="1" t="s">
        <v>710</v>
      </c>
      <c r="B149" s="1" t="s">
        <v>711</v>
      </c>
      <c r="C149" s="1">
        <v>1</v>
      </c>
      <c r="D149" s="2">
        <v>110</v>
      </c>
      <c r="E149" s="1" t="s">
        <v>17</v>
      </c>
      <c r="F149" s="1" t="s">
        <v>716</v>
      </c>
      <c r="G149" s="1" t="s">
        <v>19</v>
      </c>
      <c r="H149" s="3">
        <v>0.83333333333333337</v>
      </c>
      <c r="I149" s="1" t="s">
        <v>713</v>
      </c>
      <c r="K149" s="1" t="s">
        <v>714</v>
      </c>
      <c r="M149" s="1" t="s">
        <v>715</v>
      </c>
      <c r="N149" s="1" t="s">
        <v>23</v>
      </c>
      <c r="O149" s="1" t="str">
        <f>"93101"</f>
        <v>93101</v>
      </c>
    </row>
    <row r="150" spans="1:15" x14ac:dyDescent="0.2">
      <c r="A150" s="1" t="s">
        <v>717</v>
      </c>
      <c r="B150" s="1" t="s">
        <v>718</v>
      </c>
      <c r="C150" s="1">
        <v>2</v>
      </c>
      <c r="D150" s="2">
        <v>35</v>
      </c>
      <c r="E150" s="1" t="s">
        <v>17</v>
      </c>
      <c r="F150" s="1" t="s">
        <v>719</v>
      </c>
      <c r="G150" s="1" t="s">
        <v>19</v>
      </c>
      <c r="H150" s="3">
        <v>0.83333333333333337</v>
      </c>
      <c r="I150" s="1" t="s">
        <v>720</v>
      </c>
      <c r="K150" s="1" t="s">
        <v>721</v>
      </c>
      <c r="M150" s="1" t="s">
        <v>722</v>
      </c>
      <c r="N150" s="1" t="s">
        <v>23</v>
      </c>
      <c r="O150" s="1" t="str">
        <f>"92882"</f>
        <v>92882</v>
      </c>
    </row>
    <row r="151" spans="1:15" x14ac:dyDescent="0.2">
      <c r="A151" s="1" t="s">
        <v>723</v>
      </c>
      <c r="B151" s="1" t="s">
        <v>724</v>
      </c>
      <c r="C151" s="1">
        <v>4</v>
      </c>
      <c r="D151" s="2">
        <v>50</v>
      </c>
      <c r="E151" s="1" t="s">
        <v>17</v>
      </c>
      <c r="F151" s="1" t="s">
        <v>725</v>
      </c>
      <c r="G151" s="1" t="s">
        <v>19</v>
      </c>
      <c r="H151" s="3">
        <v>0.83333333333333337</v>
      </c>
      <c r="I151" s="1" t="s">
        <v>726</v>
      </c>
      <c r="J151" s="1">
        <v>3304751543</v>
      </c>
      <c r="K151" s="1" t="s">
        <v>727</v>
      </c>
      <c r="M151" s="1" t="s">
        <v>728</v>
      </c>
      <c r="N151" s="1" t="s">
        <v>729</v>
      </c>
      <c r="O151" s="1" t="str">
        <f>"44720"</f>
        <v>44720</v>
      </c>
    </row>
    <row r="152" spans="1:15" x14ac:dyDescent="0.2">
      <c r="A152" s="1" t="s">
        <v>730</v>
      </c>
      <c r="B152" s="1" t="s">
        <v>731</v>
      </c>
      <c r="C152" s="1">
        <v>2</v>
      </c>
      <c r="D152" s="2">
        <v>50</v>
      </c>
      <c r="E152" s="1" t="s">
        <v>17</v>
      </c>
      <c r="F152" s="1" t="s">
        <v>732</v>
      </c>
      <c r="G152" s="1" t="s">
        <v>19</v>
      </c>
      <c r="H152" s="3">
        <v>0.83333333333333337</v>
      </c>
      <c r="I152" s="1" t="s">
        <v>733</v>
      </c>
      <c r="J152" s="1">
        <v>3230362588</v>
      </c>
      <c r="K152" s="1" t="s">
        <v>338</v>
      </c>
      <c r="M152" s="1" t="s">
        <v>93</v>
      </c>
      <c r="N152" s="1" t="s">
        <v>23</v>
      </c>
      <c r="O152" s="1" t="str">
        <f>"92679"</f>
        <v>92679</v>
      </c>
    </row>
    <row r="153" spans="1:15" x14ac:dyDescent="0.2">
      <c r="A153" s="1" t="s">
        <v>734</v>
      </c>
      <c r="B153" s="1" t="s">
        <v>735</v>
      </c>
      <c r="C153" s="1">
        <v>4</v>
      </c>
      <c r="D153" s="2">
        <v>50</v>
      </c>
      <c r="E153" s="1" t="s">
        <v>17</v>
      </c>
      <c r="F153" s="1" t="s">
        <v>736</v>
      </c>
      <c r="G153" s="1" t="s">
        <v>19</v>
      </c>
      <c r="H153" s="3">
        <v>0.83333333333333337</v>
      </c>
      <c r="I153" s="1" t="s">
        <v>737</v>
      </c>
      <c r="J153" s="1">
        <v>5103842242</v>
      </c>
      <c r="K153" s="1" t="s">
        <v>738</v>
      </c>
      <c r="M153" s="1" t="s">
        <v>739</v>
      </c>
      <c r="N153" s="1" t="s">
        <v>23</v>
      </c>
      <c r="O153" s="1" t="str">
        <f>"94501"</f>
        <v>94501</v>
      </c>
    </row>
    <row r="154" spans="1:15" x14ac:dyDescent="0.2">
      <c r="A154" s="1" t="s">
        <v>740</v>
      </c>
      <c r="B154" s="1" t="s">
        <v>641</v>
      </c>
      <c r="C154" s="1">
        <v>4</v>
      </c>
      <c r="D154" s="2">
        <v>50</v>
      </c>
      <c r="E154" s="1" t="s">
        <v>17</v>
      </c>
      <c r="F154" s="1" t="s">
        <v>741</v>
      </c>
      <c r="G154" s="1" t="s">
        <v>19</v>
      </c>
      <c r="H154" s="3">
        <v>0.83333333333333337</v>
      </c>
      <c r="I154" s="1" t="s">
        <v>742</v>
      </c>
      <c r="J154" s="1">
        <v>5108377048</v>
      </c>
      <c r="K154" s="1" t="s">
        <v>743</v>
      </c>
      <c r="M154" s="1" t="s">
        <v>744</v>
      </c>
      <c r="N154" s="1" t="s">
        <v>23</v>
      </c>
      <c r="O154" s="1" t="str">
        <f>"94583"</f>
        <v>94583</v>
      </c>
    </row>
    <row r="155" spans="1:15" x14ac:dyDescent="0.2">
      <c r="A155" s="1" t="s">
        <v>745</v>
      </c>
      <c r="B155" s="1" t="s">
        <v>746</v>
      </c>
      <c r="C155" s="1">
        <v>2</v>
      </c>
      <c r="D155" s="2">
        <v>65</v>
      </c>
      <c r="E155" s="1" t="s">
        <v>17</v>
      </c>
      <c r="F155" s="1" t="s">
        <v>747</v>
      </c>
      <c r="G155" s="1" t="s">
        <v>19</v>
      </c>
      <c r="H155" s="3">
        <v>0.83333333333333337</v>
      </c>
      <c r="I155" s="1" t="s">
        <v>748</v>
      </c>
      <c r="K155" s="1" t="s">
        <v>749</v>
      </c>
      <c r="M155" s="1" t="s">
        <v>750</v>
      </c>
      <c r="N155" s="1" t="s">
        <v>23</v>
      </c>
      <c r="O155" s="1" t="str">
        <f>"95747"</f>
        <v>95747</v>
      </c>
    </row>
    <row r="156" spans="1:15" x14ac:dyDescent="0.2">
      <c r="A156" s="1" t="s">
        <v>751</v>
      </c>
      <c r="B156" s="1" t="s">
        <v>752</v>
      </c>
      <c r="C156" s="1">
        <v>2</v>
      </c>
      <c r="D156" s="2">
        <v>75</v>
      </c>
      <c r="E156" s="1" t="s">
        <v>17</v>
      </c>
      <c r="F156" s="1" t="s">
        <v>753</v>
      </c>
      <c r="G156" s="1" t="s">
        <v>19</v>
      </c>
      <c r="H156" s="3">
        <v>0.83333333333333337</v>
      </c>
      <c r="I156" s="1" t="s">
        <v>754</v>
      </c>
      <c r="K156" s="1" t="s">
        <v>755</v>
      </c>
      <c r="L156" s="1" t="s">
        <v>756</v>
      </c>
      <c r="M156" s="1" t="s">
        <v>305</v>
      </c>
      <c r="N156" s="1" t="s">
        <v>23</v>
      </c>
      <c r="O156" s="1" t="str">
        <f>"94105"</f>
        <v>94105</v>
      </c>
    </row>
    <row r="157" spans="1:15" x14ac:dyDescent="0.2">
      <c r="A157" s="1" t="s">
        <v>757</v>
      </c>
      <c r="B157" s="1" t="s">
        <v>758</v>
      </c>
      <c r="C157" s="1">
        <v>1</v>
      </c>
      <c r="D157" s="2">
        <v>75</v>
      </c>
      <c r="E157" s="1" t="s">
        <v>17</v>
      </c>
      <c r="F157" s="1" t="s">
        <v>759</v>
      </c>
      <c r="G157" s="1" t="s">
        <v>19</v>
      </c>
      <c r="H157" s="3">
        <v>0.83333333333333337</v>
      </c>
      <c r="I157" s="1" t="s">
        <v>760</v>
      </c>
      <c r="K157" s="1" t="s">
        <v>761</v>
      </c>
      <c r="M157" s="1" t="s">
        <v>140</v>
      </c>
      <c r="N157" s="1" t="s">
        <v>23</v>
      </c>
      <c r="O157" s="1" t="str">
        <f>"94520"</f>
        <v>94520</v>
      </c>
    </row>
    <row r="158" spans="1:15" x14ac:dyDescent="0.2">
      <c r="A158" s="1" t="s">
        <v>757</v>
      </c>
      <c r="B158" s="1" t="s">
        <v>758</v>
      </c>
      <c r="C158" s="1">
        <v>1</v>
      </c>
      <c r="D158" s="2">
        <v>75</v>
      </c>
      <c r="E158" s="1" t="s">
        <v>17</v>
      </c>
      <c r="F158" s="1" t="s">
        <v>762</v>
      </c>
      <c r="G158" s="1" t="s">
        <v>19</v>
      </c>
      <c r="H158" s="3">
        <v>0.83333333333333337</v>
      </c>
      <c r="I158" s="1" t="s">
        <v>760</v>
      </c>
      <c r="K158" s="1" t="s">
        <v>761</v>
      </c>
      <c r="M158" s="1" t="s">
        <v>140</v>
      </c>
      <c r="N158" s="1" t="s">
        <v>23</v>
      </c>
      <c r="O158" s="1" t="str">
        <f>"94520"</f>
        <v>94520</v>
      </c>
    </row>
    <row r="159" spans="1:15" x14ac:dyDescent="0.2">
      <c r="A159" s="1" t="s">
        <v>763</v>
      </c>
      <c r="B159" s="1" t="s">
        <v>95</v>
      </c>
      <c r="C159" s="1">
        <v>2</v>
      </c>
      <c r="D159" s="2">
        <v>50</v>
      </c>
      <c r="E159" s="1" t="s">
        <v>17</v>
      </c>
      <c r="F159" s="1" t="s">
        <v>764</v>
      </c>
      <c r="G159" s="1" t="s">
        <v>19</v>
      </c>
      <c r="H159" s="3">
        <v>0.83333333333333337</v>
      </c>
      <c r="I159" s="1" t="s">
        <v>765</v>
      </c>
      <c r="J159" s="1">
        <v>4088261012</v>
      </c>
      <c r="K159" s="1" t="s">
        <v>766</v>
      </c>
      <c r="M159" s="1" t="s">
        <v>100</v>
      </c>
      <c r="N159" s="1" t="s">
        <v>23</v>
      </c>
      <c r="O159" s="1" t="str">
        <f>"95123"</f>
        <v>95123</v>
      </c>
    </row>
    <row r="160" spans="1:15" x14ac:dyDescent="0.2">
      <c r="A160" s="1" t="s">
        <v>767</v>
      </c>
      <c r="B160" s="1" t="s">
        <v>768</v>
      </c>
      <c r="C160" s="1">
        <v>1</v>
      </c>
      <c r="D160" s="2">
        <v>50</v>
      </c>
      <c r="E160" s="1" t="s">
        <v>17</v>
      </c>
      <c r="F160" s="1" t="s">
        <v>769</v>
      </c>
      <c r="G160" s="1" t="s">
        <v>19</v>
      </c>
      <c r="H160" s="3">
        <v>0.83333333333333337</v>
      </c>
      <c r="I160" s="1" t="s">
        <v>770</v>
      </c>
      <c r="J160" s="1">
        <v>5102193375</v>
      </c>
      <c r="K160" s="1" t="s">
        <v>771</v>
      </c>
      <c r="M160" s="1" t="s">
        <v>772</v>
      </c>
      <c r="N160" s="1" t="s">
        <v>23</v>
      </c>
      <c r="O160" s="1" t="str">
        <f>"94611"</f>
        <v>94611</v>
      </c>
    </row>
    <row r="161" spans="1:15" x14ac:dyDescent="0.2">
      <c r="A161" s="1" t="s">
        <v>773</v>
      </c>
      <c r="B161" s="1" t="s">
        <v>774</v>
      </c>
      <c r="C161" s="1">
        <v>2</v>
      </c>
      <c r="D161" s="2">
        <v>50</v>
      </c>
      <c r="E161" s="1" t="s">
        <v>17</v>
      </c>
      <c r="F161" s="1" t="s">
        <v>775</v>
      </c>
      <c r="G161" s="1" t="s">
        <v>19</v>
      </c>
      <c r="H161" s="3">
        <v>0.83333333333333337</v>
      </c>
      <c r="I161" s="1" t="s">
        <v>776</v>
      </c>
      <c r="K161" s="1" t="s">
        <v>777</v>
      </c>
      <c r="M161" s="1" t="s">
        <v>778</v>
      </c>
      <c r="N161" s="1" t="s">
        <v>23</v>
      </c>
      <c r="O161" s="1" t="str">
        <f>"95811"</f>
        <v>95811</v>
      </c>
    </row>
    <row r="162" spans="1:15" x14ac:dyDescent="0.2">
      <c r="A162" s="1" t="s">
        <v>779</v>
      </c>
      <c r="B162" s="1" t="s">
        <v>780</v>
      </c>
      <c r="C162" s="1">
        <v>1</v>
      </c>
      <c r="D162" s="2">
        <v>110</v>
      </c>
      <c r="E162" s="1" t="s">
        <v>17</v>
      </c>
      <c r="F162" s="1" t="s">
        <v>781</v>
      </c>
      <c r="G162" s="1" t="s">
        <v>19</v>
      </c>
      <c r="H162" s="3">
        <v>0.83333333333333337</v>
      </c>
      <c r="I162" s="1" t="s">
        <v>782</v>
      </c>
      <c r="K162" s="1" t="s">
        <v>783</v>
      </c>
      <c r="M162" s="1" t="s">
        <v>416</v>
      </c>
      <c r="N162" s="1" t="s">
        <v>23</v>
      </c>
      <c r="O162" s="1" t="str">
        <f>"94107"</f>
        <v>94107</v>
      </c>
    </row>
    <row r="163" spans="1:15" x14ac:dyDescent="0.2">
      <c r="A163" s="1" t="s">
        <v>779</v>
      </c>
      <c r="B163" s="1" t="s">
        <v>780</v>
      </c>
      <c r="C163" s="1">
        <v>1</v>
      </c>
      <c r="D163" s="2">
        <v>110</v>
      </c>
      <c r="E163" s="1" t="s">
        <v>17</v>
      </c>
      <c r="F163" s="1" t="s">
        <v>784</v>
      </c>
      <c r="G163" s="1" t="s">
        <v>19</v>
      </c>
      <c r="H163" s="3">
        <v>0.83333333333333337</v>
      </c>
      <c r="I163" s="1" t="s">
        <v>782</v>
      </c>
      <c r="K163" s="1" t="s">
        <v>783</v>
      </c>
      <c r="M163" s="1" t="s">
        <v>416</v>
      </c>
      <c r="N163" s="1" t="s">
        <v>23</v>
      </c>
      <c r="O163" s="1" t="str">
        <f>"94107"</f>
        <v>94107</v>
      </c>
    </row>
    <row r="164" spans="1:15" x14ac:dyDescent="0.2">
      <c r="A164" s="1" t="s">
        <v>779</v>
      </c>
      <c r="B164" s="1" t="s">
        <v>780</v>
      </c>
      <c r="C164" s="1">
        <v>4</v>
      </c>
      <c r="D164" s="2">
        <v>110</v>
      </c>
      <c r="E164" s="1" t="s">
        <v>17</v>
      </c>
      <c r="F164" s="1" t="s">
        <v>785</v>
      </c>
      <c r="G164" s="1" t="s">
        <v>19</v>
      </c>
      <c r="H164" s="3">
        <v>0.83333333333333337</v>
      </c>
      <c r="I164" s="1" t="s">
        <v>782</v>
      </c>
      <c r="K164" s="1" t="s">
        <v>783</v>
      </c>
      <c r="M164" s="1" t="s">
        <v>416</v>
      </c>
      <c r="N164" s="1" t="s">
        <v>23</v>
      </c>
      <c r="O164" s="1" t="str">
        <f>"94107"</f>
        <v>94107</v>
      </c>
    </row>
    <row r="165" spans="1:15" x14ac:dyDescent="0.2">
      <c r="A165" s="1" t="s">
        <v>786</v>
      </c>
      <c r="B165" s="1" t="s">
        <v>787</v>
      </c>
      <c r="C165" s="1">
        <v>2</v>
      </c>
      <c r="D165" s="2">
        <v>110</v>
      </c>
      <c r="E165" s="1" t="s">
        <v>17</v>
      </c>
      <c r="F165" s="1" t="s">
        <v>788</v>
      </c>
      <c r="G165" s="1" t="s">
        <v>19</v>
      </c>
      <c r="H165" s="3">
        <v>0.83333333333333337</v>
      </c>
      <c r="I165" s="1" t="s">
        <v>782</v>
      </c>
      <c r="K165" s="1" t="s">
        <v>789</v>
      </c>
      <c r="M165" s="1" t="s">
        <v>51</v>
      </c>
      <c r="N165" s="1" t="s">
        <v>23</v>
      </c>
      <c r="O165" s="1" t="str">
        <f>"94107"</f>
        <v>94107</v>
      </c>
    </row>
    <row r="166" spans="1:15" x14ac:dyDescent="0.2">
      <c r="A166" s="1" t="s">
        <v>790</v>
      </c>
      <c r="B166" s="1" t="s">
        <v>791</v>
      </c>
      <c r="C166" s="1">
        <v>2</v>
      </c>
      <c r="D166" s="2">
        <v>65</v>
      </c>
      <c r="E166" s="1" t="s">
        <v>17</v>
      </c>
      <c r="F166" s="1" t="s">
        <v>792</v>
      </c>
      <c r="G166" s="1" t="s">
        <v>19</v>
      </c>
      <c r="H166" s="3">
        <v>0.83333333333333337</v>
      </c>
      <c r="I166" s="1" t="s">
        <v>793</v>
      </c>
      <c r="J166" s="1">
        <v>4153029607</v>
      </c>
      <c r="K166" s="1" t="s">
        <v>794</v>
      </c>
      <c r="M166" s="1" t="s">
        <v>795</v>
      </c>
      <c r="N166" s="1" t="s">
        <v>23</v>
      </c>
      <c r="O166" s="1" t="str">
        <f>"94904"</f>
        <v>94904</v>
      </c>
    </row>
    <row r="167" spans="1:15" x14ac:dyDescent="0.2">
      <c r="A167" s="1" t="s">
        <v>796</v>
      </c>
      <c r="B167" s="1" t="s">
        <v>225</v>
      </c>
      <c r="C167" s="1">
        <v>2</v>
      </c>
      <c r="D167" s="2">
        <v>50</v>
      </c>
      <c r="E167" s="1" t="s">
        <v>17</v>
      </c>
      <c r="F167" s="1" t="s">
        <v>797</v>
      </c>
      <c r="G167" s="1" t="s">
        <v>19</v>
      </c>
      <c r="H167" s="3">
        <v>0.83333333333333337</v>
      </c>
      <c r="I167" s="1" t="s">
        <v>798</v>
      </c>
      <c r="K167" s="1" t="s">
        <v>799</v>
      </c>
      <c r="L167" s="1" t="s">
        <v>800</v>
      </c>
      <c r="M167" s="1" t="s">
        <v>51</v>
      </c>
      <c r="N167" s="1" t="s">
        <v>23</v>
      </c>
      <c r="O167" s="1" t="str">
        <f>"94131"</f>
        <v>94131</v>
      </c>
    </row>
    <row r="168" spans="1:15" x14ac:dyDescent="0.2">
      <c r="A168" s="1" t="s">
        <v>801</v>
      </c>
      <c r="B168" s="1" t="s">
        <v>802</v>
      </c>
      <c r="C168" s="1">
        <v>1</v>
      </c>
      <c r="D168" s="2">
        <v>65</v>
      </c>
      <c r="E168" s="1" t="s">
        <v>17</v>
      </c>
      <c r="F168" s="1" t="s">
        <v>803</v>
      </c>
      <c r="G168" s="1" t="s">
        <v>19</v>
      </c>
      <c r="H168" s="3">
        <v>0.83333333333333337</v>
      </c>
      <c r="I168" s="1" t="s">
        <v>804</v>
      </c>
      <c r="J168" s="1">
        <v>4154906637</v>
      </c>
      <c r="K168" s="1" t="s">
        <v>805</v>
      </c>
      <c r="L168" s="1" t="s">
        <v>806</v>
      </c>
      <c r="M168" s="1" t="s">
        <v>51</v>
      </c>
      <c r="N168" s="1" t="s">
        <v>23</v>
      </c>
      <c r="O168" s="1" t="str">
        <f>"94107"</f>
        <v>94107</v>
      </c>
    </row>
    <row r="169" spans="1:15" x14ac:dyDescent="0.2">
      <c r="A169" s="1" t="s">
        <v>807</v>
      </c>
      <c r="B169" s="1" t="s">
        <v>475</v>
      </c>
      <c r="C169" s="1">
        <v>2</v>
      </c>
      <c r="D169" s="2">
        <v>50</v>
      </c>
      <c r="E169" s="1" t="s">
        <v>17</v>
      </c>
      <c r="F169" s="1" t="s">
        <v>808</v>
      </c>
      <c r="G169" s="1" t="s">
        <v>19</v>
      </c>
      <c r="H169" s="3">
        <v>0.83333333333333337</v>
      </c>
      <c r="I169" s="1" t="s">
        <v>809</v>
      </c>
      <c r="K169" s="1" t="s">
        <v>810</v>
      </c>
      <c r="M169" s="1" t="s">
        <v>811</v>
      </c>
      <c r="N169" s="1" t="s">
        <v>23</v>
      </c>
      <c r="O169" s="1" t="str">
        <f>"95008"</f>
        <v>95008</v>
      </c>
    </row>
    <row r="170" spans="1:15" x14ac:dyDescent="0.2">
      <c r="A170" s="1" t="s">
        <v>812</v>
      </c>
      <c r="B170" s="1" t="s">
        <v>813</v>
      </c>
      <c r="C170" s="1">
        <v>1</v>
      </c>
      <c r="D170" s="2">
        <v>50</v>
      </c>
      <c r="E170" s="1" t="s">
        <v>17</v>
      </c>
      <c r="F170" s="1" t="s">
        <v>814</v>
      </c>
      <c r="G170" s="1" t="s">
        <v>19</v>
      </c>
      <c r="H170" s="3">
        <v>0.83333333333333337</v>
      </c>
      <c r="I170" s="1" t="s">
        <v>815</v>
      </c>
      <c r="K170" s="1" t="s">
        <v>816</v>
      </c>
      <c r="M170" s="1" t="s">
        <v>817</v>
      </c>
      <c r="N170" s="1" t="s">
        <v>23</v>
      </c>
      <c r="O170" s="1" t="str">
        <f>"94301"</f>
        <v>94301</v>
      </c>
    </row>
    <row r="171" spans="1:15" x14ac:dyDescent="0.2">
      <c r="A171" s="1" t="s">
        <v>818</v>
      </c>
      <c r="B171" s="1" t="s">
        <v>819</v>
      </c>
      <c r="C171" s="1">
        <v>5</v>
      </c>
      <c r="D171" s="2">
        <v>75</v>
      </c>
      <c r="E171" s="1" t="s">
        <v>17</v>
      </c>
      <c r="F171" s="1" t="s">
        <v>820</v>
      </c>
      <c r="G171" s="1" t="s">
        <v>19</v>
      </c>
      <c r="H171" s="3">
        <v>0.83333333333333337</v>
      </c>
      <c r="I171" s="1" t="s">
        <v>821</v>
      </c>
      <c r="J171" s="1">
        <v>4083323044</v>
      </c>
      <c r="K171" s="1" t="s">
        <v>822</v>
      </c>
      <c r="M171" s="1" t="s">
        <v>100</v>
      </c>
      <c r="N171" s="1" t="s">
        <v>23</v>
      </c>
      <c r="O171" s="1" t="str">
        <f>"95118"</f>
        <v>95118</v>
      </c>
    </row>
    <row r="172" spans="1:15" x14ac:dyDescent="0.2">
      <c r="A172" s="1" t="s">
        <v>823</v>
      </c>
      <c r="B172" s="1" t="s">
        <v>824</v>
      </c>
      <c r="C172" s="1">
        <v>2</v>
      </c>
      <c r="D172" s="2">
        <v>65</v>
      </c>
      <c r="E172" s="1" t="s">
        <v>17</v>
      </c>
      <c r="F172" s="1" t="s">
        <v>825</v>
      </c>
      <c r="G172" s="1" t="s">
        <v>19</v>
      </c>
      <c r="H172" s="3">
        <v>0.83333333333333337</v>
      </c>
      <c r="I172" s="1" t="s">
        <v>826</v>
      </c>
      <c r="J172" s="1">
        <v>5109265764</v>
      </c>
      <c r="K172" s="1" t="s">
        <v>827</v>
      </c>
      <c r="L172" s="1" t="s">
        <v>828</v>
      </c>
      <c r="M172" s="1" t="s">
        <v>829</v>
      </c>
      <c r="N172" s="1" t="s">
        <v>23</v>
      </c>
      <c r="O172" s="1" t="str">
        <f>"94704"</f>
        <v>94704</v>
      </c>
    </row>
    <row r="173" spans="1:15" x14ac:dyDescent="0.2">
      <c r="A173" s="1" t="s">
        <v>830</v>
      </c>
      <c r="B173" s="1" t="s">
        <v>322</v>
      </c>
      <c r="C173" s="1">
        <v>2</v>
      </c>
      <c r="D173" s="2">
        <v>50</v>
      </c>
      <c r="E173" s="1" t="s">
        <v>17</v>
      </c>
      <c r="F173" s="1" t="s">
        <v>831</v>
      </c>
      <c r="G173" s="1" t="s">
        <v>19</v>
      </c>
      <c r="H173" s="3">
        <v>0.83333333333333337</v>
      </c>
      <c r="I173" s="1" t="s">
        <v>832</v>
      </c>
      <c r="J173" s="1">
        <v>4152723961</v>
      </c>
      <c r="K173" s="1" t="s">
        <v>833</v>
      </c>
      <c r="M173" s="1" t="s">
        <v>350</v>
      </c>
      <c r="N173" s="1" t="s">
        <v>23</v>
      </c>
      <c r="O173" s="1" t="str">
        <f>"94563"</f>
        <v>94563</v>
      </c>
    </row>
    <row r="174" spans="1:15" x14ac:dyDescent="0.2">
      <c r="A174" s="1" t="s">
        <v>834</v>
      </c>
      <c r="B174" s="1" t="s">
        <v>835</v>
      </c>
      <c r="C174" s="1">
        <v>2</v>
      </c>
      <c r="D174" s="2">
        <v>110</v>
      </c>
      <c r="E174" s="1" t="s">
        <v>17</v>
      </c>
      <c r="F174" s="1" t="s">
        <v>836</v>
      </c>
      <c r="G174" s="1" t="s">
        <v>19</v>
      </c>
      <c r="H174" s="3">
        <v>0.83333333333333337</v>
      </c>
      <c r="I174" s="1" t="s">
        <v>837</v>
      </c>
      <c r="K174" s="1" t="s">
        <v>838</v>
      </c>
      <c r="M174" s="1" t="s">
        <v>839</v>
      </c>
      <c r="N174" s="1" t="s">
        <v>23</v>
      </c>
      <c r="O174" s="1" t="str">
        <f>"95070"</f>
        <v>95070</v>
      </c>
    </row>
    <row r="175" spans="1:15" x14ac:dyDescent="0.2">
      <c r="A175" s="1" t="s">
        <v>840</v>
      </c>
      <c r="B175" s="1" t="s">
        <v>841</v>
      </c>
      <c r="C175" s="1">
        <v>2</v>
      </c>
      <c r="D175" s="2">
        <v>50</v>
      </c>
      <c r="E175" s="1" t="s">
        <v>17</v>
      </c>
      <c r="F175" s="1" t="s">
        <v>842</v>
      </c>
      <c r="G175" s="1" t="s">
        <v>19</v>
      </c>
      <c r="H175" s="3">
        <v>0.83333333333333337</v>
      </c>
      <c r="I175" s="1" t="s">
        <v>843</v>
      </c>
      <c r="K175" s="1" t="s">
        <v>844</v>
      </c>
      <c r="M175" s="1" t="s">
        <v>298</v>
      </c>
      <c r="N175" s="1" t="s">
        <v>23</v>
      </c>
      <c r="O175" s="1" t="str">
        <f>"94506"</f>
        <v>94506</v>
      </c>
    </row>
    <row r="176" spans="1:15" x14ac:dyDescent="0.2">
      <c r="A176" s="1" t="s">
        <v>845</v>
      </c>
      <c r="B176" s="1" t="s">
        <v>846</v>
      </c>
      <c r="C176" s="1">
        <v>2</v>
      </c>
      <c r="D176" s="2">
        <v>50</v>
      </c>
      <c r="E176" s="1" t="s">
        <v>17</v>
      </c>
      <c r="F176" s="1" t="s">
        <v>847</v>
      </c>
      <c r="G176" s="1" t="s">
        <v>19</v>
      </c>
      <c r="H176" s="3">
        <v>0.83333333333333337</v>
      </c>
      <c r="I176" s="1" t="s">
        <v>848</v>
      </c>
      <c r="K176" s="1" t="s">
        <v>849</v>
      </c>
      <c r="M176" s="1" t="s">
        <v>795</v>
      </c>
      <c r="N176" s="1" t="s">
        <v>23</v>
      </c>
      <c r="O176" s="1" t="str">
        <f>"94904"</f>
        <v>94904</v>
      </c>
    </row>
    <row r="177" spans="1:15" x14ac:dyDescent="0.2">
      <c r="A177" s="1" t="s">
        <v>850</v>
      </c>
      <c r="B177" s="1" t="s">
        <v>851</v>
      </c>
      <c r="C177" s="1">
        <v>2</v>
      </c>
      <c r="D177" s="2">
        <v>50</v>
      </c>
      <c r="E177" s="1" t="s">
        <v>17</v>
      </c>
      <c r="F177" s="1" t="s">
        <v>852</v>
      </c>
      <c r="G177" s="1" t="s">
        <v>19</v>
      </c>
      <c r="H177" s="3">
        <v>0.83333333333333337</v>
      </c>
      <c r="I177" s="1" t="s">
        <v>853</v>
      </c>
      <c r="J177" s="1">
        <v>3236942552</v>
      </c>
      <c r="K177" s="1" t="s">
        <v>338</v>
      </c>
      <c r="M177" s="1" t="s">
        <v>283</v>
      </c>
      <c r="N177" s="1" t="s">
        <v>23</v>
      </c>
      <c r="O177" s="1" t="str">
        <f>"92679"</f>
        <v>92679</v>
      </c>
    </row>
    <row r="178" spans="1:15" x14ac:dyDescent="0.2">
      <c r="A178" s="1" t="s">
        <v>854</v>
      </c>
      <c r="B178" s="1" t="s">
        <v>641</v>
      </c>
      <c r="C178" s="1">
        <v>2</v>
      </c>
      <c r="D178" s="2">
        <v>125</v>
      </c>
      <c r="E178" s="1" t="s">
        <v>17</v>
      </c>
      <c r="F178" s="1" t="s">
        <v>855</v>
      </c>
      <c r="G178" s="1" t="s">
        <v>19</v>
      </c>
      <c r="H178" s="3">
        <v>0.83333333333333337</v>
      </c>
      <c r="I178" s="1" t="s">
        <v>856</v>
      </c>
      <c r="K178" s="1" t="s">
        <v>857</v>
      </c>
      <c r="M178" s="1" t="s">
        <v>563</v>
      </c>
      <c r="N178" s="1" t="s">
        <v>23</v>
      </c>
      <c r="O178" s="1" t="str">
        <f>"94903"</f>
        <v>94903</v>
      </c>
    </row>
    <row r="179" spans="1:15" x14ac:dyDescent="0.2">
      <c r="A179" s="1" t="s">
        <v>858</v>
      </c>
      <c r="B179" s="1" t="s">
        <v>859</v>
      </c>
      <c r="C179" s="1">
        <v>2</v>
      </c>
      <c r="D179" s="2">
        <v>50</v>
      </c>
      <c r="E179" s="1" t="s">
        <v>17</v>
      </c>
      <c r="F179" s="1" t="s">
        <v>860</v>
      </c>
      <c r="G179" s="1" t="s">
        <v>19</v>
      </c>
      <c r="H179" s="3">
        <v>0.83333333333333337</v>
      </c>
      <c r="I179" s="1" t="s">
        <v>861</v>
      </c>
      <c r="J179" s="1">
        <v>5103650996</v>
      </c>
      <c r="K179" s="1" t="s">
        <v>862</v>
      </c>
      <c r="M179" s="1" t="s">
        <v>863</v>
      </c>
      <c r="N179" s="1" t="s">
        <v>23</v>
      </c>
      <c r="O179" s="1" t="str">
        <f>"94704"</f>
        <v>94704</v>
      </c>
    </row>
    <row r="180" spans="1:15" x14ac:dyDescent="0.2">
      <c r="A180" s="1" t="s">
        <v>864</v>
      </c>
      <c r="B180" s="1" t="s">
        <v>865</v>
      </c>
      <c r="C180" s="1">
        <v>2</v>
      </c>
      <c r="D180" s="2">
        <v>0</v>
      </c>
      <c r="E180" s="1" t="s">
        <v>27</v>
      </c>
      <c r="F180" s="1" t="s">
        <v>866</v>
      </c>
      <c r="G180" s="1" t="s">
        <v>19</v>
      </c>
      <c r="H180" s="3">
        <v>0.83333333333333337</v>
      </c>
      <c r="I180" s="1" t="s">
        <v>867</v>
      </c>
      <c r="J180" s="1" t="s">
        <v>868</v>
      </c>
      <c r="K180" s="1" t="s">
        <v>204</v>
      </c>
      <c r="M180" s="1" t="s">
        <v>204</v>
      </c>
      <c r="N180" s="1" t="s">
        <v>23</v>
      </c>
      <c r="O180" s="1" t="str">
        <f>"00000"</f>
        <v>00000</v>
      </c>
    </row>
    <row r="181" spans="1:15" x14ac:dyDescent="0.2">
      <c r="A181" s="1" t="s">
        <v>864</v>
      </c>
      <c r="B181" s="1" t="s">
        <v>865</v>
      </c>
      <c r="C181" s="1">
        <v>2</v>
      </c>
      <c r="D181" s="2">
        <v>0</v>
      </c>
      <c r="E181" s="1" t="s">
        <v>27</v>
      </c>
      <c r="F181" s="1" t="s">
        <v>869</v>
      </c>
      <c r="G181" s="1" t="s">
        <v>19</v>
      </c>
      <c r="H181" s="3">
        <v>0.83333333333333337</v>
      </c>
      <c r="I181" s="1" t="s">
        <v>867</v>
      </c>
      <c r="J181" s="1" t="s">
        <v>868</v>
      </c>
      <c r="K181" s="1" t="s">
        <v>204</v>
      </c>
      <c r="M181" s="1" t="s">
        <v>204</v>
      </c>
      <c r="N181" s="1" t="s">
        <v>23</v>
      </c>
      <c r="O181" s="1" t="str">
        <f>"00000"</f>
        <v>00000</v>
      </c>
    </row>
    <row r="182" spans="1:15" x14ac:dyDescent="0.2">
      <c r="A182" s="1" t="s">
        <v>870</v>
      </c>
      <c r="B182" s="1" t="s">
        <v>166</v>
      </c>
      <c r="C182" s="1">
        <v>2</v>
      </c>
      <c r="D182" s="2">
        <v>65</v>
      </c>
      <c r="E182" s="1" t="s">
        <v>17</v>
      </c>
      <c r="F182" s="1" t="s">
        <v>871</v>
      </c>
      <c r="G182" s="1" t="s">
        <v>19</v>
      </c>
      <c r="H182" s="3">
        <v>0.83333333333333337</v>
      </c>
      <c r="I182" s="1" t="s">
        <v>872</v>
      </c>
      <c r="K182" s="1" t="s">
        <v>873</v>
      </c>
      <c r="M182" s="1" t="s">
        <v>874</v>
      </c>
      <c r="N182" s="1" t="s">
        <v>875</v>
      </c>
      <c r="O182" s="1" t="str">
        <f>"78744"</f>
        <v>78744</v>
      </c>
    </row>
    <row r="183" spans="1:15" x14ac:dyDescent="0.2">
      <c r="A183" s="1" t="s">
        <v>876</v>
      </c>
      <c r="B183" s="1" t="s">
        <v>877</v>
      </c>
      <c r="C183" s="1">
        <v>2</v>
      </c>
      <c r="D183" s="2">
        <v>50</v>
      </c>
      <c r="E183" s="1" t="s">
        <v>17</v>
      </c>
      <c r="F183" s="1" t="s">
        <v>878</v>
      </c>
      <c r="G183" s="1" t="s">
        <v>19</v>
      </c>
      <c r="H183" s="3">
        <v>0.83333333333333337</v>
      </c>
      <c r="I183" s="1" t="s">
        <v>879</v>
      </c>
      <c r="J183" s="1">
        <v>6282248294</v>
      </c>
      <c r="K183" s="1" t="s">
        <v>880</v>
      </c>
      <c r="M183" s="1" t="s">
        <v>51</v>
      </c>
      <c r="N183" s="1" t="s">
        <v>23</v>
      </c>
      <c r="O183" s="1" t="str">
        <f>"94107"</f>
        <v>94107</v>
      </c>
    </row>
    <row r="184" spans="1:15" x14ac:dyDescent="0.2">
      <c r="A184" s="1" t="s">
        <v>876</v>
      </c>
      <c r="B184" s="1" t="s">
        <v>881</v>
      </c>
      <c r="C184" s="1">
        <v>2</v>
      </c>
      <c r="D184" s="2">
        <v>75</v>
      </c>
      <c r="E184" s="1" t="s">
        <v>17</v>
      </c>
      <c r="F184" s="1" t="s">
        <v>882</v>
      </c>
      <c r="G184" s="1" t="s">
        <v>19</v>
      </c>
      <c r="H184" s="3">
        <v>0.83333333333333337</v>
      </c>
      <c r="I184" s="1" t="s">
        <v>883</v>
      </c>
      <c r="J184" s="1">
        <v>4253716930</v>
      </c>
      <c r="K184" s="1" t="s">
        <v>884</v>
      </c>
      <c r="M184" s="1" t="s">
        <v>885</v>
      </c>
      <c r="N184" s="1" t="s">
        <v>886</v>
      </c>
      <c r="O184" s="1" t="str">
        <f>"98516"</f>
        <v>98516</v>
      </c>
    </row>
    <row r="185" spans="1:15" x14ac:dyDescent="0.2">
      <c r="A185" s="1" t="s">
        <v>887</v>
      </c>
      <c r="B185" s="1" t="s">
        <v>888</v>
      </c>
      <c r="C185" s="1">
        <v>2</v>
      </c>
      <c r="D185" s="2">
        <v>50</v>
      </c>
      <c r="E185" s="1" t="s">
        <v>17</v>
      </c>
      <c r="F185" s="1" t="s">
        <v>889</v>
      </c>
      <c r="G185" s="1" t="s">
        <v>19</v>
      </c>
      <c r="H185" s="3">
        <v>0.83333333333333337</v>
      </c>
      <c r="I185" s="1" t="s">
        <v>890</v>
      </c>
      <c r="K185" s="1" t="s">
        <v>891</v>
      </c>
      <c r="L185" s="1">
        <v>1512</v>
      </c>
      <c r="M185" s="1" t="s">
        <v>892</v>
      </c>
      <c r="N185" s="1" t="s">
        <v>23</v>
      </c>
      <c r="O185" s="1" t="str">
        <f>"95050"</f>
        <v>95050</v>
      </c>
    </row>
    <row r="186" spans="1:15" x14ac:dyDescent="0.2">
      <c r="A186" s="1" t="s">
        <v>887</v>
      </c>
      <c r="B186" s="1" t="s">
        <v>888</v>
      </c>
      <c r="C186" s="1">
        <v>1</v>
      </c>
      <c r="D186" s="2">
        <v>50</v>
      </c>
      <c r="E186" s="1" t="s">
        <v>17</v>
      </c>
      <c r="F186" s="1" t="s">
        <v>893</v>
      </c>
      <c r="G186" s="1" t="s">
        <v>19</v>
      </c>
      <c r="H186" s="3">
        <v>0.83333333333333337</v>
      </c>
      <c r="I186" s="1" t="s">
        <v>890</v>
      </c>
      <c r="K186" s="1" t="s">
        <v>891</v>
      </c>
      <c r="L186" s="1">
        <v>1512</v>
      </c>
      <c r="M186" s="1" t="s">
        <v>892</v>
      </c>
      <c r="N186" s="1" t="s">
        <v>23</v>
      </c>
      <c r="O186" s="1" t="str">
        <f>"95050"</f>
        <v>95050</v>
      </c>
    </row>
    <row r="187" spans="1:15" x14ac:dyDescent="0.2">
      <c r="A187" s="1" t="s">
        <v>894</v>
      </c>
      <c r="B187" s="1" t="s">
        <v>693</v>
      </c>
      <c r="C187" s="1">
        <v>2</v>
      </c>
      <c r="D187" s="2">
        <v>0</v>
      </c>
      <c r="E187" s="1" t="s">
        <v>27</v>
      </c>
      <c r="F187" s="1" t="s">
        <v>895</v>
      </c>
      <c r="G187" s="1" t="s">
        <v>19</v>
      </c>
      <c r="H187" s="3">
        <v>0.83333333333333337</v>
      </c>
      <c r="I187" s="1" t="s">
        <v>896</v>
      </c>
      <c r="J187" s="1" t="s">
        <v>897</v>
      </c>
      <c r="K187" s="1" t="s">
        <v>204</v>
      </c>
      <c r="M187" s="1" t="s">
        <v>204</v>
      </c>
      <c r="N187" s="1" t="s">
        <v>23</v>
      </c>
      <c r="O187" s="1" t="str">
        <f>"00000"</f>
        <v>00000</v>
      </c>
    </row>
    <row r="188" spans="1:15" x14ac:dyDescent="0.2">
      <c r="A188" s="1" t="s">
        <v>898</v>
      </c>
      <c r="B188" s="1" t="s">
        <v>899</v>
      </c>
      <c r="C188" s="1">
        <v>2</v>
      </c>
      <c r="D188" s="2">
        <v>50</v>
      </c>
      <c r="E188" s="1" t="s">
        <v>17</v>
      </c>
      <c r="F188" s="1" t="s">
        <v>900</v>
      </c>
      <c r="G188" s="1" t="s">
        <v>19</v>
      </c>
      <c r="H188" s="3">
        <v>0.83333333333333337</v>
      </c>
      <c r="I188" s="1" t="s">
        <v>901</v>
      </c>
      <c r="J188" s="1">
        <v>5103408066</v>
      </c>
      <c r="K188" s="1" t="s">
        <v>902</v>
      </c>
      <c r="M188" s="1" t="s">
        <v>87</v>
      </c>
      <c r="N188" s="1" t="s">
        <v>23</v>
      </c>
      <c r="O188" s="1" t="str">
        <f>"94804"</f>
        <v>94804</v>
      </c>
    </row>
    <row r="189" spans="1:15" x14ac:dyDescent="0.2">
      <c r="A189" s="1" t="s">
        <v>903</v>
      </c>
      <c r="B189" s="1" t="s">
        <v>488</v>
      </c>
      <c r="C189" s="1">
        <v>1</v>
      </c>
      <c r="D189" s="2">
        <v>35</v>
      </c>
      <c r="E189" s="1" t="s">
        <v>17</v>
      </c>
      <c r="F189" s="1" t="s">
        <v>904</v>
      </c>
      <c r="G189" s="1" t="s">
        <v>19</v>
      </c>
      <c r="H189" s="3">
        <v>0.83333333333333337</v>
      </c>
      <c r="I189" s="1" t="s">
        <v>905</v>
      </c>
      <c r="J189" s="1">
        <v>9495631143</v>
      </c>
      <c r="K189" s="1" t="s">
        <v>906</v>
      </c>
      <c r="M189" s="1" t="s">
        <v>51</v>
      </c>
      <c r="N189" s="1" t="s">
        <v>23</v>
      </c>
      <c r="O189" s="1" t="str">
        <f>"94116"</f>
        <v>94116</v>
      </c>
    </row>
    <row r="190" spans="1:15" x14ac:dyDescent="0.2">
      <c r="A190" s="1" t="s">
        <v>907</v>
      </c>
      <c r="B190" s="1" t="s">
        <v>908</v>
      </c>
      <c r="C190" s="1">
        <v>2</v>
      </c>
      <c r="D190" s="2">
        <v>50</v>
      </c>
      <c r="E190" s="1" t="s">
        <v>17</v>
      </c>
      <c r="F190" s="1" t="s">
        <v>909</v>
      </c>
      <c r="G190" s="1" t="s">
        <v>19</v>
      </c>
      <c r="H190" s="3">
        <v>0.83333333333333337</v>
      </c>
      <c r="I190" s="1" t="s">
        <v>910</v>
      </c>
      <c r="J190" s="1">
        <v>6504055781</v>
      </c>
      <c r="K190" s="1" t="s">
        <v>911</v>
      </c>
      <c r="M190" s="1" t="s">
        <v>912</v>
      </c>
      <c r="N190" s="1" t="s">
        <v>23</v>
      </c>
      <c r="O190" s="1" t="str">
        <f>"95014"</f>
        <v>95014</v>
      </c>
    </row>
    <row r="191" spans="1:15" x14ac:dyDescent="0.2">
      <c r="A191" s="1" t="s">
        <v>913</v>
      </c>
      <c r="B191" s="1" t="s">
        <v>914</v>
      </c>
      <c r="C191" s="1">
        <v>2</v>
      </c>
      <c r="D191" s="2">
        <v>65</v>
      </c>
      <c r="E191" s="1" t="s">
        <v>17</v>
      </c>
      <c r="F191" s="1" t="s">
        <v>915</v>
      </c>
      <c r="G191" s="1" t="s">
        <v>19</v>
      </c>
      <c r="H191" s="3">
        <v>0.83333333333333337</v>
      </c>
      <c r="I191" s="1" t="s">
        <v>916</v>
      </c>
      <c r="K191" s="1" t="s">
        <v>917</v>
      </c>
      <c r="L191" s="1" t="s">
        <v>918</v>
      </c>
      <c r="M191" s="1" t="s">
        <v>51</v>
      </c>
      <c r="N191" s="1" t="s">
        <v>23</v>
      </c>
      <c r="O191" s="1" t="str">
        <f>"94103"</f>
        <v>94103</v>
      </c>
    </row>
    <row r="192" spans="1:15" x14ac:dyDescent="0.2">
      <c r="A192" s="1" t="s">
        <v>919</v>
      </c>
      <c r="B192" s="1" t="s">
        <v>718</v>
      </c>
      <c r="C192" s="1">
        <v>1</v>
      </c>
      <c r="D192" s="2">
        <v>110</v>
      </c>
      <c r="E192" s="1" t="s">
        <v>17</v>
      </c>
      <c r="F192" s="1" t="s">
        <v>920</v>
      </c>
      <c r="G192" s="1" t="s">
        <v>19</v>
      </c>
      <c r="H192" s="3">
        <v>0.83333333333333337</v>
      </c>
      <c r="I192" s="1" t="s">
        <v>921</v>
      </c>
      <c r="K192" s="1" t="s">
        <v>922</v>
      </c>
      <c r="M192" s="1" t="s">
        <v>923</v>
      </c>
      <c r="N192" s="1" t="s">
        <v>23</v>
      </c>
      <c r="O192" s="1" t="str">
        <f>"94550"</f>
        <v>94550</v>
      </c>
    </row>
    <row r="193" spans="1:15" x14ac:dyDescent="0.2">
      <c r="A193" s="1" t="s">
        <v>919</v>
      </c>
      <c r="B193" s="1" t="s">
        <v>718</v>
      </c>
      <c r="C193" s="1">
        <v>1</v>
      </c>
      <c r="D193" s="2">
        <v>110</v>
      </c>
      <c r="E193" s="1" t="s">
        <v>17</v>
      </c>
      <c r="F193" s="1" t="s">
        <v>924</v>
      </c>
      <c r="G193" s="1" t="s">
        <v>19</v>
      </c>
      <c r="H193" s="3">
        <v>0.83333333333333337</v>
      </c>
      <c r="I193" s="1" t="s">
        <v>921</v>
      </c>
      <c r="K193" s="1" t="s">
        <v>922</v>
      </c>
      <c r="M193" s="1" t="s">
        <v>923</v>
      </c>
      <c r="N193" s="1" t="s">
        <v>23</v>
      </c>
      <c r="O193" s="1" t="str">
        <f>"94550"</f>
        <v>94550</v>
      </c>
    </row>
    <row r="194" spans="1:15" x14ac:dyDescent="0.2">
      <c r="A194" s="1" t="s">
        <v>919</v>
      </c>
      <c r="B194" s="1" t="s">
        <v>718</v>
      </c>
      <c r="C194" s="1">
        <v>2</v>
      </c>
      <c r="D194" s="2">
        <v>110</v>
      </c>
      <c r="E194" s="1" t="s">
        <v>17</v>
      </c>
      <c r="F194" s="1" t="s">
        <v>925</v>
      </c>
      <c r="G194" s="1" t="s">
        <v>19</v>
      </c>
      <c r="H194" s="3">
        <v>0.83333333333333337</v>
      </c>
      <c r="I194" s="1" t="s">
        <v>926</v>
      </c>
      <c r="K194" s="1" t="s">
        <v>927</v>
      </c>
      <c r="L194" s="1" t="s">
        <v>928</v>
      </c>
      <c r="M194" s="1" t="s">
        <v>923</v>
      </c>
      <c r="N194" s="1" t="s">
        <v>23</v>
      </c>
      <c r="O194" s="1" t="str">
        <f>"94550"</f>
        <v>94550</v>
      </c>
    </row>
    <row r="195" spans="1:15" x14ac:dyDescent="0.2">
      <c r="A195" s="1" t="s">
        <v>919</v>
      </c>
      <c r="B195" s="1" t="s">
        <v>718</v>
      </c>
      <c r="C195" s="1">
        <v>1</v>
      </c>
      <c r="D195" s="2">
        <v>110</v>
      </c>
      <c r="E195" s="1" t="s">
        <v>17</v>
      </c>
      <c r="F195" s="1" t="s">
        <v>929</v>
      </c>
      <c r="G195" s="1" t="s">
        <v>19</v>
      </c>
      <c r="H195" s="3">
        <v>0.83333333333333337</v>
      </c>
      <c r="I195" s="1" t="s">
        <v>926</v>
      </c>
      <c r="K195" s="1" t="s">
        <v>927</v>
      </c>
      <c r="L195" s="1" t="s">
        <v>928</v>
      </c>
      <c r="M195" s="1" t="s">
        <v>923</v>
      </c>
      <c r="N195" s="1" t="s">
        <v>23</v>
      </c>
      <c r="O195" s="1" t="str">
        <f>"94550"</f>
        <v>94550</v>
      </c>
    </row>
    <row r="196" spans="1:15" x14ac:dyDescent="0.2">
      <c r="A196" s="1" t="s">
        <v>930</v>
      </c>
      <c r="B196" s="1" t="s">
        <v>931</v>
      </c>
      <c r="C196" s="1">
        <v>1</v>
      </c>
      <c r="D196" s="2">
        <v>35</v>
      </c>
      <c r="E196" s="1" t="s">
        <v>17</v>
      </c>
      <c r="F196" s="1" t="s">
        <v>932</v>
      </c>
      <c r="G196" s="1" t="s">
        <v>19</v>
      </c>
      <c r="H196" s="3">
        <v>0.83333333333333337</v>
      </c>
      <c r="I196" s="1" t="s">
        <v>933</v>
      </c>
      <c r="K196" s="1" t="s">
        <v>934</v>
      </c>
      <c r="M196" s="1" t="s">
        <v>569</v>
      </c>
      <c r="N196" s="1" t="s">
        <v>23</v>
      </c>
      <c r="O196" s="1" t="str">
        <f>"94618"</f>
        <v>94618</v>
      </c>
    </row>
    <row r="197" spans="1:15" x14ac:dyDescent="0.2">
      <c r="A197" s="1" t="s">
        <v>930</v>
      </c>
      <c r="B197" s="1" t="s">
        <v>931</v>
      </c>
      <c r="C197" s="1">
        <v>2</v>
      </c>
      <c r="D197" s="2">
        <v>35</v>
      </c>
      <c r="E197" s="1" t="s">
        <v>17</v>
      </c>
      <c r="F197" s="1" t="s">
        <v>935</v>
      </c>
      <c r="G197" s="1" t="s">
        <v>19</v>
      </c>
      <c r="H197" s="3">
        <v>0.83333333333333337</v>
      </c>
      <c r="I197" s="1" t="s">
        <v>933</v>
      </c>
      <c r="K197" s="1" t="s">
        <v>934</v>
      </c>
      <c r="M197" s="1" t="s">
        <v>569</v>
      </c>
      <c r="N197" s="1" t="s">
        <v>23</v>
      </c>
      <c r="O197" s="1" t="str">
        <f>"94618"</f>
        <v>94618</v>
      </c>
    </row>
    <row r="198" spans="1:15" x14ac:dyDescent="0.2">
      <c r="A198" s="1" t="s">
        <v>936</v>
      </c>
      <c r="B198" s="1" t="s">
        <v>937</v>
      </c>
      <c r="C198" s="1">
        <v>2</v>
      </c>
      <c r="D198" s="2">
        <v>50</v>
      </c>
      <c r="E198" s="1" t="s">
        <v>17</v>
      </c>
      <c r="F198" s="1" t="s">
        <v>938</v>
      </c>
      <c r="G198" s="1" t="s">
        <v>19</v>
      </c>
      <c r="H198" s="3">
        <v>0.83333333333333337</v>
      </c>
      <c r="I198" s="1" t="s">
        <v>939</v>
      </c>
      <c r="K198" s="1" t="s">
        <v>940</v>
      </c>
      <c r="L198" s="1" t="s">
        <v>941</v>
      </c>
      <c r="M198" s="1" t="s">
        <v>51</v>
      </c>
      <c r="N198" s="1" t="s">
        <v>23</v>
      </c>
      <c r="O198" s="1" t="str">
        <f>"94105"</f>
        <v>94105</v>
      </c>
    </row>
    <row r="199" spans="1:15" x14ac:dyDescent="0.2">
      <c r="A199" s="1" t="s">
        <v>942</v>
      </c>
      <c r="B199" s="1" t="s">
        <v>943</v>
      </c>
      <c r="C199" s="1">
        <v>1</v>
      </c>
      <c r="D199" s="2">
        <v>50</v>
      </c>
      <c r="E199" s="1" t="s">
        <v>17</v>
      </c>
      <c r="F199" s="1" t="s">
        <v>944</v>
      </c>
      <c r="G199" s="1" t="s">
        <v>19</v>
      </c>
      <c r="H199" s="3">
        <v>0.83333333333333337</v>
      </c>
      <c r="I199" s="1" t="s">
        <v>945</v>
      </c>
      <c r="J199" s="1">
        <v>4158108408</v>
      </c>
      <c r="K199" s="1" t="s">
        <v>946</v>
      </c>
      <c r="L199" s="1" t="s">
        <v>947</v>
      </c>
      <c r="M199" s="1" t="s">
        <v>948</v>
      </c>
      <c r="N199" s="1" t="s">
        <v>23</v>
      </c>
      <c r="O199" s="1" t="str">
        <f>"94608"</f>
        <v>94608</v>
      </c>
    </row>
    <row r="200" spans="1:15" x14ac:dyDescent="0.2">
      <c r="A200" s="1" t="s">
        <v>949</v>
      </c>
      <c r="B200" s="1" t="s">
        <v>950</v>
      </c>
      <c r="C200" s="1">
        <v>4</v>
      </c>
      <c r="D200" s="2">
        <v>65</v>
      </c>
      <c r="E200" s="1" t="s">
        <v>17</v>
      </c>
      <c r="F200" s="1" t="s">
        <v>951</v>
      </c>
      <c r="G200" s="1" t="s">
        <v>19</v>
      </c>
      <c r="H200" s="3">
        <v>0.83333333333333337</v>
      </c>
      <c r="I200" s="1" t="s">
        <v>952</v>
      </c>
      <c r="K200" s="1" t="s">
        <v>953</v>
      </c>
      <c r="M200" s="1" t="s">
        <v>744</v>
      </c>
      <c r="N200" s="1" t="s">
        <v>23</v>
      </c>
      <c r="O200" s="1" t="str">
        <f>"94583"</f>
        <v>94583</v>
      </c>
    </row>
    <row r="201" spans="1:15" x14ac:dyDescent="0.2">
      <c r="A201" s="1" t="s">
        <v>954</v>
      </c>
      <c r="B201" s="1" t="s">
        <v>955</v>
      </c>
      <c r="C201" s="1">
        <v>2</v>
      </c>
      <c r="D201" s="2">
        <v>65</v>
      </c>
      <c r="E201" s="1" t="s">
        <v>17</v>
      </c>
      <c r="F201" s="1" t="s">
        <v>956</v>
      </c>
      <c r="G201" s="1" t="s">
        <v>19</v>
      </c>
      <c r="H201" s="3">
        <v>0.83333333333333337</v>
      </c>
      <c r="I201" s="1" t="s">
        <v>957</v>
      </c>
      <c r="K201" s="1" t="s">
        <v>958</v>
      </c>
      <c r="M201" s="1" t="s">
        <v>959</v>
      </c>
      <c r="N201" s="1" t="s">
        <v>23</v>
      </c>
      <c r="O201" s="1" t="str">
        <f>"95829"</f>
        <v>95829</v>
      </c>
    </row>
    <row r="202" spans="1:15" x14ac:dyDescent="0.2">
      <c r="A202" s="1" t="s">
        <v>960</v>
      </c>
      <c r="B202" s="1" t="s">
        <v>475</v>
      </c>
      <c r="C202" s="1">
        <v>3</v>
      </c>
      <c r="D202" s="2">
        <v>50</v>
      </c>
      <c r="E202" s="1" t="s">
        <v>17</v>
      </c>
      <c r="F202" s="1" t="s">
        <v>961</v>
      </c>
      <c r="G202" s="1" t="s">
        <v>19</v>
      </c>
      <c r="H202" s="3">
        <v>0.83333333333333337</v>
      </c>
      <c r="I202" s="1" t="s">
        <v>962</v>
      </c>
      <c r="K202" s="1" t="s">
        <v>963</v>
      </c>
      <c r="L202" s="1" t="s">
        <v>964</v>
      </c>
      <c r="M202" s="1" t="s">
        <v>51</v>
      </c>
      <c r="N202" s="1" t="s">
        <v>23</v>
      </c>
      <c r="O202" s="1" t="str">
        <f>"94111-2033"</f>
        <v>94111-2033</v>
      </c>
    </row>
    <row r="203" spans="1:15" x14ac:dyDescent="0.2">
      <c r="A203" s="1" t="s">
        <v>965</v>
      </c>
      <c r="B203" s="1" t="s">
        <v>966</v>
      </c>
      <c r="C203" s="1">
        <v>1</v>
      </c>
      <c r="D203" s="2">
        <v>110</v>
      </c>
      <c r="E203" s="1" t="s">
        <v>17</v>
      </c>
      <c r="F203" s="1" t="s">
        <v>967</v>
      </c>
      <c r="G203" s="1" t="s">
        <v>19</v>
      </c>
      <c r="H203" s="3">
        <v>0.83333333333333337</v>
      </c>
      <c r="I203" s="1" t="s">
        <v>968</v>
      </c>
      <c r="K203" s="1" t="s">
        <v>969</v>
      </c>
      <c r="M203" s="1" t="s">
        <v>970</v>
      </c>
      <c r="N203" s="1" t="s">
        <v>23</v>
      </c>
      <c r="O203" s="1" t="str">
        <f>"94506"</f>
        <v>94506</v>
      </c>
    </row>
    <row r="204" spans="1:15" x14ac:dyDescent="0.2">
      <c r="A204" s="1" t="s">
        <v>965</v>
      </c>
      <c r="B204" s="1" t="s">
        <v>966</v>
      </c>
      <c r="C204" s="1">
        <v>1</v>
      </c>
      <c r="D204" s="2">
        <v>110</v>
      </c>
      <c r="E204" s="1" t="s">
        <v>17</v>
      </c>
      <c r="F204" s="1" t="s">
        <v>971</v>
      </c>
      <c r="G204" s="1" t="s">
        <v>19</v>
      </c>
      <c r="H204" s="3">
        <v>0.83333333333333337</v>
      </c>
      <c r="I204" s="1" t="s">
        <v>968</v>
      </c>
      <c r="K204" s="1" t="s">
        <v>969</v>
      </c>
      <c r="M204" s="1" t="s">
        <v>970</v>
      </c>
      <c r="N204" s="1" t="s">
        <v>23</v>
      </c>
      <c r="O204" s="1" t="str">
        <f>"94506"</f>
        <v>94506</v>
      </c>
    </row>
    <row r="205" spans="1:15" x14ac:dyDescent="0.2">
      <c r="A205" s="1" t="s">
        <v>972</v>
      </c>
      <c r="B205" s="1" t="s">
        <v>973</v>
      </c>
      <c r="C205" s="1">
        <v>2</v>
      </c>
      <c r="D205" s="2">
        <v>50</v>
      </c>
      <c r="E205" s="1" t="s">
        <v>17</v>
      </c>
      <c r="F205" s="1" t="s">
        <v>974</v>
      </c>
      <c r="G205" s="1" t="s">
        <v>19</v>
      </c>
      <c r="H205" s="3">
        <v>0.83333333333333337</v>
      </c>
      <c r="I205" s="1" t="s">
        <v>975</v>
      </c>
      <c r="K205" s="1" t="s">
        <v>976</v>
      </c>
      <c r="M205" s="1" t="s">
        <v>977</v>
      </c>
      <c r="N205" s="1" t="s">
        <v>23</v>
      </c>
      <c r="O205" s="1" t="str">
        <f>"94530"</f>
        <v>94530</v>
      </c>
    </row>
    <row r="206" spans="1:15" x14ac:dyDescent="0.2">
      <c r="A206" s="1" t="s">
        <v>978</v>
      </c>
      <c r="B206" s="1" t="s">
        <v>352</v>
      </c>
      <c r="C206" s="1">
        <v>2</v>
      </c>
      <c r="D206" s="2">
        <v>35</v>
      </c>
      <c r="E206" s="1" t="s">
        <v>17</v>
      </c>
      <c r="F206" s="1" t="s">
        <v>979</v>
      </c>
      <c r="G206" s="1" t="s">
        <v>19</v>
      </c>
      <c r="H206" s="3">
        <v>0.83333333333333337</v>
      </c>
      <c r="I206" s="1" t="s">
        <v>980</v>
      </c>
      <c r="K206" s="1" t="s">
        <v>981</v>
      </c>
      <c r="M206" s="1" t="s">
        <v>216</v>
      </c>
      <c r="N206" s="1" t="s">
        <v>23</v>
      </c>
      <c r="O206" s="1" t="str">
        <f>"94941"</f>
        <v>94941</v>
      </c>
    </row>
    <row r="207" spans="1:15" x14ac:dyDescent="0.2">
      <c r="A207" s="1" t="s">
        <v>982</v>
      </c>
      <c r="B207" s="1" t="s">
        <v>641</v>
      </c>
      <c r="C207" s="1">
        <v>2</v>
      </c>
      <c r="D207" s="2">
        <v>125</v>
      </c>
      <c r="E207" s="1" t="s">
        <v>17</v>
      </c>
      <c r="F207" s="1" t="s">
        <v>983</v>
      </c>
      <c r="G207" s="1" t="s">
        <v>19</v>
      </c>
      <c r="H207" s="3">
        <v>0.83333333333333337</v>
      </c>
      <c r="I207" s="1" t="s">
        <v>984</v>
      </c>
      <c r="K207" s="1" t="s">
        <v>985</v>
      </c>
      <c r="M207" s="1" t="s">
        <v>170</v>
      </c>
      <c r="N207" s="1" t="s">
        <v>23</v>
      </c>
      <c r="O207" s="1" t="str">
        <f>"94545"</f>
        <v>94545</v>
      </c>
    </row>
    <row r="208" spans="1:15" x14ac:dyDescent="0.2">
      <c r="A208" s="1" t="s">
        <v>986</v>
      </c>
      <c r="B208" s="1" t="s">
        <v>987</v>
      </c>
      <c r="C208" s="1">
        <v>2</v>
      </c>
      <c r="D208" s="2">
        <v>50</v>
      </c>
      <c r="E208" s="1" t="s">
        <v>17</v>
      </c>
      <c r="F208" s="1" t="s">
        <v>988</v>
      </c>
      <c r="G208" s="1" t="s">
        <v>19</v>
      </c>
      <c r="H208" s="3">
        <v>0.83333333333333337</v>
      </c>
      <c r="I208" s="1" t="s">
        <v>989</v>
      </c>
      <c r="K208" s="1" t="s">
        <v>990</v>
      </c>
      <c r="M208" s="1" t="s">
        <v>991</v>
      </c>
      <c r="N208" s="1" t="s">
        <v>23</v>
      </c>
      <c r="O208" s="1" t="str">
        <f>"94563"</f>
        <v>94563</v>
      </c>
    </row>
    <row r="209" spans="1:15" x14ac:dyDescent="0.2">
      <c r="A209" s="1" t="s">
        <v>986</v>
      </c>
      <c r="B209" s="1" t="s">
        <v>987</v>
      </c>
      <c r="C209" s="1">
        <v>1</v>
      </c>
      <c r="D209" s="2">
        <v>50</v>
      </c>
      <c r="E209" s="1" t="s">
        <v>17</v>
      </c>
      <c r="F209" s="1" t="s">
        <v>992</v>
      </c>
      <c r="G209" s="1" t="s">
        <v>19</v>
      </c>
      <c r="H209" s="3">
        <v>0.83333333333333337</v>
      </c>
      <c r="I209" s="1" t="s">
        <v>989</v>
      </c>
      <c r="K209" s="1">
        <v>98</v>
      </c>
      <c r="L209" s="1" t="s">
        <v>993</v>
      </c>
      <c r="M209" s="1" t="s">
        <v>350</v>
      </c>
      <c r="N209" s="1" t="s">
        <v>23</v>
      </c>
      <c r="O209" s="1" t="str">
        <f>"94563"</f>
        <v>94563</v>
      </c>
    </row>
    <row r="210" spans="1:15" x14ac:dyDescent="0.2">
      <c r="A210" s="1" t="s">
        <v>994</v>
      </c>
      <c r="B210" s="1" t="s">
        <v>995</v>
      </c>
      <c r="C210" s="1">
        <v>2</v>
      </c>
      <c r="D210" s="2">
        <v>50</v>
      </c>
      <c r="E210" s="1" t="s">
        <v>17</v>
      </c>
      <c r="F210" s="1" t="s">
        <v>996</v>
      </c>
      <c r="G210" s="1" t="s">
        <v>19</v>
      </c>
      <c r="H210" s="3">
        <v>0.83333333333333337</v>
      </c>
      <c r="I210" s="1" t="s">
        <v>997</v>
      </c>
      <c r="K210" s="1" t="s">
        <v>998</v>
      </c>
      <c r="M210" s="1" t="s">
        <v>999</v>
      </c>
      <c r="N210" s="1" t="s">
        <v>23</v>
      </c>
      <c r="O210" s="1" t="str">
        <f>"94303"</f>
        <v>94303</v>
      </c>
    </row>
    <row r="211" spans="1:15" x14ac:dyDescent="0.2">
      <c r="A211" s="1" t="s">
        <v>1000</v>
      </c>
      <c r="B211" s="1" t="s">
        <v>1001</v>
      </c>
      <c r="C211" s="1">
        <v>2</v>
      </c>
      <c r="D211" s="2">
        <v>50</v>
      </c>
      <c r="E211" s="1" t="s">
        <v>17</v>
      </c>
      <c r="F211" s="1" t="s">
        <v>1002</v>
      </c>
      <c r="G211" s="1" t="s">
        <v>19</v>
      </c>
      <c r="H211" s="3">
        <v>0.83333333333333337</v>
      </c>
      <c r="I211" s="1" t="s">
        <v>1003</v>
      </c>
      <c r="K211" s="1" t="s">
        <v>1004</v>
      </c>
      <c r="M211" s="1" t="s">
        <v>1005</v>
      </c>
      <c r="N211" s="1" t="s">
        <v>23</v>
      </c>
      <c r="O211" s="1" t="str">
        <f>"94015"</f>
        <v>94015</v>
      </c>
    </row>
    <row r="212" spans="1:15" x14ac:dyDescent="0.2">
      <c r="A212" s="1" t="s">
        <v>1006</v>
      </c>
      <c r="B212" s="1" t="s">
        <v>1007</v>
      </c>
      <c r="C212" s="1">
        <v>2</v>
      </c>
      <c r="D212" s="2">
        <v>35</v>
      </c>
      <c r="E212" s="1" t="s">
        <v>17</v>
      </c>
      <c r="F212" s="1" t="s">
        <v>1008</v>
      </c>
      <c r="G212" s="1" t="s">
        <v>19</v>
      </c>
      <c r="H212" s="3">
        <v>0.83333333333333337</v>
      </c>
      <c r="I212" s="1" t="s">
        <v>1009</v>
      </c>
      <c r="J212" s="1">
        <v>6157663344</v>
      </c>
      <c r="K212" s="1" t="s">
        <v>1010</v>
      </c>
      <c r="M212" s="1" t="s">
        <v>51</v>
      </c>
      <c r="N212" s="1" t="s">
        <v>23</v>
      </c>
      <c r="O212" s="1" t="str">
        <f>"94103"</f>
        <v>94103</v>
      </c>
    </row>
    <row r="213" spans="1:15" x14ac:dyDescent="0.2">
      <c r="A213" s="1" t="s">
        <v>1011</v>
      </c>
      <c r="B213" s="1" t="s">
        <v>1012</v>
      </c>
      <c r="C213" s="1">
        <v>5</v>
      </c>
      <c r="D213" s="2">
        <v>35</v>
      </c>
      <c r="E213" s="1" t="s">
        <v>17</v>
      </c>
      <c r="F213" s="1" t="s">
        <v>1013</v>
      </c>
      <c r="G213" s="1" t="s">
        <v>19</v>
      </c>
      <c r="H213" s="3">
        <v>0.83333333333333337</v>
      </c>
      <c r="I213" s="1" t="s">
        <v>1014</v>
      </c>
      <c r="K213" s="1" t="s">
        <v>1015</v>
      </c>
      <c r="L213" s="1" t="s">
        <v>1016</v>
      </c>
      <c r="M213" s="1" t="s">
        <v>1017</v>
      </c>
      <c r="N213" s="1" t="s">
        <v>23</v>
      </c>
      <c r="O213" s="1" t="str">
        <f>"95112"</f>
        <v>95112</v>
      </c>
    </row>
    <row r="214" spans="1:15" x14ac:dyDescent="0.2">
      <c r="A214" s="1" t="s">
        <v>1018</v>
      </c>
      <c r="B214" s="1" t="s">
        <v>1019</v>
      </c>
      <c r="C214" s="1">
        <v>3</v>
      </c>
      <c r="D214" s="2">
        <v>65</v>
      </c>
      <c r="E214" s="1" t="s">
        <v>17</v>
      </c>
      <c r="F214" s="1" t="s">
        <v>1020</v>
      </c>
      <c r="G214" s="1" t="s">
        <v>19</v>
      </c>
      <c r="H214" s="3">
        <v>0.83333333333333337</v>
      </c>
      <c r="I214" s="1" t="s">
        <v>1021</v>
      </c>
      <c r="J214" s="1">
        <v>3035065457</v>
      </c>
      <c r="K214" s="1" t="s">
        <v>1022</v>
      </c>
      <c r="M214" s="1" t="s">
        <v>298</v>
      </c>
      <c r="N214" s="1" t="s">
        <v>23</v>
      </c>
      <c r="O214" s="1" t="str">
        <f>"94506"</f>
        <v>94506</v>
      </c>
    </row>
    <row r="215" spans="1:15" x14ac:dyDescent="0.2">
      <c r="A215" s="1" t="s">
        <v>1023</v>
      </c>
      <c r="B215" s="1" t="s">
        <v>1024</v>
      </c>
      <c r="C215" s="1">
        <v>4</v>
      </c>
      <c r="D215" s="2">
        <v>50</v>
      </c>
      <c r="E215" s="1" t="s">
        <v>17</v>
      </c>
      <c r="F215" s="1" t="s">
        <v>1025</v>
      </c>
      <c r="G215" s="1" t="s">
        <v>19</v>
      </c>
      <c r="H215" s="3">
        <v>0.83333333333333337</v>
      </c>
      <c r="I215" s="1" t="s">
        <v>1026</v>
      </c>
      <c r="K215" s="1" t="s">
        <v>1027</v>
      </c>
      <c r="L215" s="1">
        <v>303</v>
      </c>
      <c r="M215" s="1" t="s">
        <v>51</v>
      </c>
      <c r="N215" s="1" t="s">
        <v>23</v>
      </c>
      <c r="O215" s="1" t="str">
        <f>"94123"</f>
        <v>94123</v>
      </c>
    </row>
    <row r="216" spans="1:15" x14ac:dyDescent="0.2">
      <c r="A216" s="1" t="s">
        <v>1028</v>
      </c>
      <c r="B216" s="1" t="s">
        <v>1029</v>
      </c>
      <c r="C216" s="1">
        <v>2</v>
      </c>
      <c r="D216" s="2">
        <v>35</v>
      </c>
      <c r="E216" s="1" t="s">
        <v>17</v>
      </c>
      <c r="F216" s="1" t="s">
        <v>1030</v>
      </c>
      <c r="G216" s="1" t="s">
        <v>19</v>
      </c>
      <c r="H216" s="3">
        <v>0.83333333333333337</v>
      </c>
      <c r="I216" s="1" t="s">
        <v>1031</v>
      </c>
      <c r="K216" s="1" t="s">
        <v>1032</v>
      </c>
      <c r="M216" s="1" t="s">
        <v>959</v>
      </c>
      <c r="N216" s="1" t="s">
        <v>23</v>
      </c>
      <c r="O216" s="1" t="str">
        <f>"95816"</f>
        <v>95816</v>
      </c>
    </row>
    <row r="217" spans="1:15" x14ac:dyDescent="0.2">
      <c r="A217" s="1" t="s">
        <v>1033</v>
      </c>
      <c r="B217" s="1" t="s">
        <v>1034</v>
      </c>
      <c r="C217" s="1">
        <v>4</v>
      </c>
      <c r="D217" s="2">
        <v>65</v>
      </c>
      <c r="E217" s="1" t="s">
        <v>17</v>
      </c>
      <c r="F217" s="1" t="s">
        <v>1035</v>
      </c>
      <c r="G217" s="1" t="s">
        <v>19</v>
      </c>
      <c r="H217" s="3">
        <v>0.83333333333333337</v>
      </c>
      <c r="I217" s="1" t="s">
        <v>1036</v>
      </c>
      <c r="K217" s="1" t="s">
        <v>1037</v>
      </c>
      <c r="M217" s="1" t="s">
        <v>1038</v>
      </c>
      <c r="N217" s="1" t="s">
        <v>23</v>
      </c>
      <c r="O217" s="1" t="str">
        <f>"94538"</f>
        <v>94538</v>
      </c>
    </row>
    <row r="218" spans="1:15" x14ac:dyDescent="0.2">
      <c r="A218" s="1" t="s">
        <v>1039</v>
      </c>
      <c r="B218" s="1" t="s">
        <v>1040</v>
      </c>
      <c r="C218" s="1">
        <v>2</v>
      </c>
      <c r="D218" s="2">
        <v>35</v>
      </c>
      <c r="E218" s="1" t="s">
        <v>17</v>
      </c>
      <c r="F218" s="1" t="s">
        <v>1041</v>
      </c>
      <c r="G218" s="1" t="s">
        <v>19</v>
      </c>
      <c r="H218" s="3">
        <v>0.83333333333333337</v>
      </c>
      <c r="I218" s="1" t="s">
        <v>1042</v>
      </c>
      <c r="K218" s="1" t="s">
        <v>1043</v>
      </c>
      <c r="M218" s="1" t="s">
        <v>327</v>
      </c>
      <c r="N218" s="1" t="s">
        <v>23</v>
      </c>
      <c r="O218" s="1" t="str">
        <f>"94596"</f>
        <v>94596</v>
      </c>
    </row>
    <row r="219" spans="1:15" x14ac:dyDescent="0.2">
      <c r="A219" s="1" t="s">
        <v>1044</v>
      </c>
      <c r="B219" s="1" t="s">
        <v>1045</v>
      </c>
      <c r="C219" s="1">
        <v>4</v>
      </c>
      <c r="D219" s="2">
        <v>50</v>
      </c>
      <c r="E219" s="1" t="s">
        <v>17</v>
      </c>
      <c r="F219" s="1" t="s">
        <v>1046</v>
      </c>
      <c r="G219" s="1" t="s">
        <v>19</v>
      </c>
      <c r="H219" s="3">
        <v>0.83333333333333337</v>
      </c>
      <c r="I219" s="1" t="s">
        <v>1047</v>
      </c>
      <c r="K219" s="1" t="s">
        <v>1048</v>
      </c>
      <c r="M219" s="1" t="s">
        <v>1049</v>
      </c>
      <c r="N219" s="1" t="s">
        <v>23</v>
      </c>
      <c r="O219" s="1" t="str">
        <f>"92679"</f>
        <v>92679</v>
      </c>
    </row>
    <row r="220" spans="1:15" x14ac:dyDescent="0.2">
      <c r="A220" s="1" t="s">
        <v>1044</v>
      </c>
      <c r="B220" s="1" t="s">
        <v>1045</v>
      </c>
      <c r="C220" s="1">
        <v>2</v>
      </c>
      <c r="D220" s="2">
        <v>50</v>
      </c>
      <c r="E220" s="1" t="s">
        <v>17</v>
      </c>
      <c r="F220" s="1" t="s">
        <v>1050</v>
      </c>
      <c r="G220" s="1" t="s">
        <v>19</v>
      </c>
      <c r="H220" s="3">
        <v>0.83333333333333337</v>
      </c>
      <c r="I220" s="1" t="s">
        <v>1047</v>
      </c>
      <c r="K220" s="1" t="s">
        <v>1048</v>
      </c>
      <c r="M220" s="1" t="s">
        <v>1049</v>
      </c>
      <c r="N220" s="1" t="s">
        <v>23</v>
      </c>
      <c r="O220" s="1" t="str">
        <f>"92679"</f>
        <v>92679</v>
      </c>
    </row>
    <row r="221" spans="1:15" x14ac:dyDescent="0.2">
      <c r="A221" s="1" t="s">
        <v>1051</v>
      </c>
      <c r="B221" s="1" t="s">
        <v>1052</v>
      </c>
      <c r="C221" s="1">
        <v>5</v>
      </c>
      <c r="D221" s="2">
        <v>75</v>
      </c>
      <c r="E221" s="1" t="s">
        <v>17</v>
      </c>
      <c r="F221" s="1" t="s">
        <v>1053</v>
      </c>
      <c r="G221" s="1" t="s">
        <v>19</v>
      </c>
      <c r="H221" s="3">
        <v>0.83333333333333337</v>
      </c>
      <c r="I221" s="1" t="s">
        <v>1054</v>
      </c>
      <c r="J221" s="1">
        <v>6502573054</v>
      </c>
      <c r="K221" s="1" t="s">
        <v>1055</v>
      </c>
      <c r="M221" s="1" t="s">
        <v>1056</v>
      </c>
      <c r="N221" s="1" t="s">
        <v>23</v>
      </c>
      <c r="O221" s="1" t="str">
        <f>"94062-4036"</f>
        <v>94062-4036</v>
      </c>
    </row>
    <row r="222" spans="1:15" x14ac:dyDescent="0.2">
      <c r="A222" s="1" t="s">
        <v>1057</v>
      </c>
      <c r="B222" s="1" t="s">
        <v>1058</v>
      </c>
      <c r="C222" s="1">
        <v>2</v>
      </c>
      <c r="D222" s="2">
        <v>50</v>
      </c>
      <c r="E222" s="1" t="s">
        <v>17</v>
      </c>
      <c r="F222" s="1" t="s">
        <v>1059</v>
      </c>
      <c r="G222" s="1" t="s">
        <v>19</v>
      </c>
      <c r="H222" s="3">
        <v>0.83333333333333337</v>
      </c>
      <c r="I222" s="1" t="s">
        <v>1060</v>
      </c>
      <c r="J222" s="1">
        <v>4069981036</v>
      </c>
      <c r="K222" s="1" t="s">
        <v>1061</v>
      </c>
      <c r="M222" s="1" t="s">
        <v>1062</v>
      </c>
      <c r="N222" s="1" t="s">
        <v>1063</v>
      </c>
      <c r="O222" s="1" t="str">
        <f>"59044"</f>
        <v>59044</v>
      </c>
    </row>
    <row r="223" spans="1:15" x14ac:dyDescent="0.2">
      <c r="A223" s="1" t="s">
        <v>1057</v>
      </c>
      <c r="B223" s="1" t="s">
        <v>1058</v>
      </c>
      <c r="C223" s="1">
        <v>2</v>
      </c>
      <c r="D223" s="2">
        <v>65</v>
      </c>
      <c r="E223" s="1" t="s">
        <v>17</v>
      </c>
      <c r="F223" s="1" t="s">
        <v>1064</v>
      </c>
      <c r="G223" s="1" t="s">
        <v>19</v>
      </c>
      <c r="H223" s="3">
        <v>0.83333333333333337</v>
      </c>
      <c r="I223" s="1" t="s">
        <v>1060</v>
      </c>
      <c r="J223" s="1">
        <v>4069981036</v>
      </c>
      <c r="K223" s="1" t="s">
        <v>1061</v>
      </c>
      <c r="M223" s="1" t="s">
        <v>1062</v>
      </c>
      <c r="N223" s="1" t="s">
        <v>1063</v>
      </c>
      <c r="O223" s="1" t="str">
        <f>"59044"</f>
        <v>59044</v>
      </c>
    </row>
    <row r="224" spans="1:15" x14ac:dyDescent="0.2">
      <c r="A224" s="1" t="s">
        <v>1065</v>
      </c>
      <c r="B224" s="1" t="s">
        <v>1066</v>
      </c>
      <c r="C224" s="1">
        <v>2</v>
      </c>
      <c r="D224" s="2">
        <v>50</v>
      </c>
      <c r="E224" s="1" t="s">
        <v>17</v>
      </c>
      <c r="F224" s="1" t="s">
        <v>1067</v>
      </c>
      <c r="G224" s="1" t="s">
        <v>19</v>
      </c>
      <c r="H224" s="3">
        <v>0.83333333333333337</v>
      </c>
      <c r="I224" s="1" t="s">
        <v>1068</v>
      </c>
      <c r="K224" s="1" t="s">
        <v>1069</v>
      </c>
      <c r="M224" s="1" t="s">
        <v>1070</v>
      </c>
      <c r="N224" s="1" t="s">
        <v>23</v>
      </c>
      <c r="O224" s="1" t="str">
        <f>"94520"</f>
        <v>94520</v>
      </c>
    </row>
    <row r="225" spans="1:15" x14ac:dyDescent="0.2">
      <c r="A225" s="1" t="s">
        <v>1065</v>
      </c>
      <c r="B225" s="1" t="s">
        <v>1066</v>
      </c>
      <c r="C225" s="1">
        <v>1</v>
      </c>
      <c r="D225" s="2">
        <v>50</v>
      </c>
      <c r="E225" s="1" t="s">
        <v>17</v>
      </c>
      <c r="F225" s="1" t="s">
        <v>1071</v>
      </c>
      <c r="G225" s="1" t="s">
        <v>19</v>
      </c>
      <c r="H225" s="3">
        <v>0.83333333333333337</v>
      </c>
      <c r="I225" s="1" t="s">
        <v>1068</v>
      </c>
      <c r="K225" s="1" t="s">
        <v>1072</v>
      </c>
      <c r="M225" s="1" t="s">
        <v>1070</v>
      </c>
      <c r="N225" s="1" t="s">
        <v>23</v>
      </c>
      <c r="O225" s="1" t="str">
        <f>"94520"</f>
        <v>94520</v>
      </c>
    </row>
    <row r="226" spans="1:15" x14ac:dyDescent="0.2">
      <c r="A226" s="1" t="s">
        <v>1073</v>
      </c>
      <c r="B226" s="1" t="s">
        <v>1074</v>
      </c>
      <c r="C226" s="1">
        <v>4</v>
      </c>
      <c r="D226" s="2">
        <v>75</v>
      </c>
      <c r="E226" s="1" t="s">
        <v>17</v>
      </c>
      <c r="F226" s="1" t="s">
        <v>1075</v>
      </c>
      <c r="G226" s="1" t="s">
        <v>19</v>
      </c>
      <c r="H226" s="3">
        <v>0.83333333333333337</v>
      </c>
      <c r="I226" s="1" t="s">
        <v>1076</v>
      </c>
      <c r="K226" s="1" t="s">
        <v>1077</v>
      </c>
      <c r="M226" s="1" t="s">
        <v>1078</v>
      </c>
      <c r="N226" s="1" t="s">
        <v>23</v>
      </c>
      <c r="O226" s="1" t="str">
        <f>"94062"</f>
        <v>94062</v>
      </c>
    </row>
    <row r="227" spans="1:15" x14ac:dyDescent="0.2">
      <c r="A227" s="1" t="s">
        <v>1079</v>
      </c>
      <c r="B227" s="1" t="s">
        <v>1080</v>
      </c>
      <c r="C227" s="1">
        <v>2</v>
      </c>
      <c r="D227" s="2">
        <v>125</v>
      </c>
      <c r="E227" s="1" t="s">
        <v>17</v>
      </c>
      <c r="F227" s="1" t="s">
        <v>1081</v>
      </c>
      <c r="G227" s="1" t="s">
        <v>19</v>
      </c>
      <c r="H227" s="3">
        <v>0.83333333333333337</v>
      </c>
      <c r="I227" s="1" t="s">
        <v>1082</v>
      </c>
      <c r="K227" s="1" t="s">
        <v>1083</v>
      </c>
      <c r="M227" s="1" t="s">
        <v>1084</v>
      </c>
      <c r="N227" s="1" t="s">
        <v>23</v>
      </c>
      <c r="O227" s="1" t="str">
        <f>"94925"</f>
        <v>94925</v>
      </c>
    </row>
    <row r="228" spans="1:15" x14ac:dyDescent="0.2">
      <c r="A228" s="1" t="s">
        <v>1085</v>
      </c>
      <c r="B228" s="1" t="s">
        <v>114</v>
      </c>
      <c r="C228" s="1">
        <v>1</v>
      </c>
      <c r="D228" s="2">
        <v>35</v>
      </c>
      <c r="E228" s="1" t="s">
        <v>17</v>
      </c>
      <c r="F228" s="1" t="s">
        <v>1086</v>
      </c>
      <c r="G228" s="1" t="s">
        <v>19</v>
      </c>
      <c r="H228" s="3">
        <v>0.83333333333333337</v>
      </c>
      <c r="I228" s="1" t="s">
        <v>1087</v>
      </c>
      <c r="K228" s="1" t="s">
        <v>1088</v>
      </c>
      <c r="M228" s="1" t="s">
        <v>1089</v>
      </c>
      <c r="N228" s="1" t="s">
        <v>23</v>
      </c>
      <c r="O228" s="1" t="str">
        <f>"94948"</f>
        <v>94948</v>
      </c>
    </row>
    <row r="229" spans="1:15" x14ac:dyDescent="0.2">
      <c r="A229" s="1" t="s">
        <v>1090</v>
      </c>
      <c r="B229" s="1" t="s">
        <v>1091</v>
      </c>
      <c r="C229" s="1">
        <v>4</v>
      </c>
      <c r="D229" s="2">
        <v>65</v>
      </c>
      <c r="E229" s="1" t="s">
        <v>17</v>
      </c>
      <c r="F229" s="1" t="s">
        <v>1092</v>
      </c>
      <c r="G229" s="1" t="s">
        <v>19</v>
      </c>
      <c r="H229" s="3">
        <v>0.83333333333333337</v>
      </c>
      <c r="I229" s="1" t="s">
        <v>1093</v>
      </c>
      <c r="J229" s="1">
        <v>4085071204</v>
      </c>
      <c r="K229" s="1" t="s">
        <v>1094</v>
      </c>
      <c r="M229" s="1" t="s">
        <v>1095</v>
      </c>
      <c r="N229" s="1" t="s">
        <v>23</v>
      </c>
      <c r="O229" s="1" t="str">
        <f>"94010"</f>
        <v>94010</v>
      </c>
    </row>
    <row r="230" spans="1:15" x14ac:dyDescent="0.2">
      <c r="A230" s="1" t="s">
        <v>1096</v>
      </c>
      <c r="B230" s="1" t="s">
        <v>1097</v>
      </c>
      <c r="C230" s="1">
        <v>3</v>
      </c>
      <c r="D230" s="2">
        <v>50</v>
      </c>
      <c r="E230" s="1" t="s">
        <v>17</v>
      </c>
      <c r="F230" s="1" t="s">
        <v>1098</v>
      </c>
      <c r="G230" s="1" t="s">
        <v>19</v>
      </c>
      <c r="H230" s="3">
        <v>0.83333333333333337</v>
      </c>
      <c r="I230" s="1" t="s">
        <v>1099</v>
      </c>
      <c r="J230" s="1">
        <v>3238735527</v>
      </c>
      <c r="K230" s="1" t="s">
        <v>310</v>
      </c>
      <c r="M230" s="1" t="s">
        <v>283</v>
      </c>
      <c r="N230" s="1" t="s">
        <v>23</v>
      </c>
      <c r="O230" s="1" t="str">
        <f>"92679"</f>
        <v>92679</v>
      </c>
    </row>
    <row r="231" spans="1:15" x14ac:dyDescent="0.2">
      <c r="A231" s="1" t="s">
        <v>1100</v>
      </c>
      <c r="B231" s="1" t="s">
        <v>1101</v>
      </c>
      <c r="C231" s="1">
        <v>2</v>
      </c>
      <c r="D231" s="2">
        <v>65</v>
      </c>
      <c r="E231" s="1" t="s">
        <v>17</v>
      </c>
      <c r="F231" s="1" t="s">
        <v>1102</v>
      </c>
      <c r="G231" s="1" t="s">
        <v>19</v>
      </c>
      <c r="H231" s="3">
        <v>0.83333333333333337</v>
      </c>
      <c r="I231" s="1" t="s">
        <v>1103</v>
      </c>
      <c r="K231" s="1" t="s">
        <v>1104</v>
      </c>
      <c r="M231" s="1" t="s">
        <v>1105</v>
      </c>
      <c r="N231" s="1" t="s">
        <v>23</v>
      </c>
      <c r="O231" s="1" t="str">
        <f>"94590"</f>
        <v>94590</v>
      </c>
    </row>
    <row r="232" spans="1:15" x14ac:dyDescent="0.2">
      <c r="A232" s="1" t="s">
        <v>1106</v>
      </c>
      <c r="B232" s="1" t="s">
        <v>1107</v>
      </c>
      <c r="C232" s="1">
        <v>2</v>
      </c>
      <c r="D232" s="2">
        <v>50</v>
      </c>
      <c r="E232" s="1" t="s">
        <v>17</v>
      </c>
      <c r="F232" s="1" t="s">
        <v>1108</v>
      </c>
      <c r="G232" s="1" t="s">
        <v>19</v>
      </c>
      <c r="H232" s="3">
        <v>0.83333333333333337</v>
      </c>
      <c r="I232" s="1" t="s">
        <v>1109</v>
      </c>
      <c r="J232" s="1">
        <v>4013248002</v>
      </c>
      <c r="K232" s="1" t="s">
        <v>1110</v>
      </c>
      <c r="M232" s="1" t="s">
        <v>1111</v>
      </c>
      <c r="N232" s="1" t="s">
        <v>1112</v>
      </c>
      <c r="O232" s="1" t="str">
        <f>"02840"</f>
        <v>02840</v>
      </c>
    </row>
    <row r="233" spans="1:15" x14ac:dyDescent="0.2">
      <c r="A233" s="1" t="s">
        <v>1106</v>
      </c>
      <c r="B233" s="1" t="s">
        <v>1107</v>
      </c>
      <c r="C233" s="1">
        <v>2</v>
      </c>
      <c r="D233" s="2">
        <v>65</v>
      </c>
      <c r="E233" s="1" t="s">
        <v>17</v>
      </c>
      <c r="F233" s="1" t="s">
        <v>1113</v>
      </c>
      <c r="G233" s="1" t="s">
        <v>19</v>
      </c>
      <c r="H233" s="3">
        <v>0.83333333333333337</v>
      </c>
      <c r="I233" s="1" t="s">
        <v>1109</v>
      </c>
      <c r="J233" s="1">
        <v>4013248002</v>
      </c>
      <c r="K233" s="1" t="s">
        <v>1110</v>
      </c>
      <c r="M233" s="1" t="s">
        <v>1111</v>
      </c>
      <c r="N233" s="1" t="s">
        <v>1112</v>
      </c>
      <c r="O233" s="1" t="str">
        <f>"02840"</f>
        <v>02840</v>
      </c>
    </row>
    <row r="234" spans="1:15" x14ac:dyDescent="0.2">
      <c r="A234" s="1" t="s">
        <v>402</v>
      </c>
      <c r="B234" s="1" t="s">
        <v>1114</v>
      </c>
      <c r="C234" s="1">
        <v>6</v>
      </c>
      <c r="D234" s="2">
        <v>50</v>
      </c>
      <c r="E234" s="1" t="s">
        <v>17</v>
      </c>
      <c r="F234" s="1" t="s">
        <v>1115</v>
      </c>
      <c r="G234" s="1" t="s">
        <v>19</v>
      </c>
      <c r="H234" s="3">
        <v>0.83333333333333337</v>
      </c>
      <c r="I234" s="1" t="s">
        <v>1116</v>
      </c>
      <c r="K234" s="1" t="s">
        <v>1117</v>
      </c>
      <c r="M234" s="1" t="s">
        <v>51</v>
      </c>
      <c r="N234" s="1" t="s">
        <v>23</v>
      </c>
      <c r="O234" s="1" t="str">
        <f>"94112"</f>
        <v>94112</v>
      </c>
    </row>
    <row r="235" spans="1:15" x14ac:dyDescent="0.2">
      <c r="A235" s="1" t="s">
        <v>1118</v>
      </c>
      <c r="B235" s="1" t="s">
        <v>1119</v>
      </c>
      <c r="C235" s="1">
        <v>2</v>
      </c>
      <c r="D235" s="2">
        <v>35</v>
      </c>
      <c r="E235" s="1" t="s">
        <v>17</v>
      </c>
      <c r="F235" s="1" t="s">
        <v>1120</v>
      </c>
      <c r="G235" s="1" t="s">
        <v>19</v>
      </c>
      <c r="H235" s="3">
        <v>0.83333333333333337</v>
      </c>
      <c r="I235" s="1" t="s">
        <v>1121</v>
      </c>
      <c r="K235" s="1" t="s">
        <v>1122</v>
      </c>
      <c r="M235" s="1" t="s">
        <v>1123</v>
      </c>
      <c r="N235" s="1" t="s">
        <v>23</v>
      </c>
      <c r="O235" s="1" t="str">
        <f>"95678"</f>
        <v>95678</v>
      </c>
    </row>
    <row r="236" spans="1:15" x14ac:dyDescent="0.2">
      <c r="A236" s="1" t="s">
        <v>1124</v>
      </c>
      <c r="B236" s="1" t="s">
        <v>1125</v>
      </c>
      <c r="C236" s="1">
        <v>2</v>
      </c>
      <c r="D236" s="2">
        <v>35</v>
      </c>
      <c r="E236" s="1" t="s">
        <v>17</v>
      </c>
      <c r="F236" s="1" t="s">
        <v>1126</v>
      </c>
      <c r="G236" s="1" t="s">
        <v>19</v>
      </c>
      <c r="H236" s="3">
        <v>0.83333333333333337</v>
      </c>
      <c r="I236" s="1" t="s">
        <v>1127</v>
      </c>
      <c r="J236" s="1" t="s">
        <v>1128</v>
      </c>
      <c r="K236" s="1" t="s">
        <v>1129</v>
      </c>
      <c r="M236" s="1" t="s">
        <v>39</v>
      </c>
      <c r="N236" s="1" t="s">
        <v>23</v>
      </c>
      <c r="O236" s="1" t="str">
        <f>"94568"</f>
        <v>94568</v>
      </c>
    </row>
    <row r="237" spans="1:15" x14ac:dyDescent="0.2">
      <c r="A237" s="1" t="s">
        <v>1130</v>
      </c>
      <c r="B237" s="1" t="s">
        <v>1131</v>
      </c>
      <c r="C237" s="1">
        <v>5</v>
      </c>
      <c r="D237" s="2">
        <v>65</v>
      </c>
      <c r="E237" s="1" t="s">
        <v>17</v>
      </c>
      <c r="F237" s="1" t="s">
        <v>1132</v>
      </c>
      <c r="G237" s="1" t="s">
        <v>19</v>
      </c>
      <c r="H237" s="3">
        <v>0.83333333333333337</v>
      </c>
      <c r="I237" s="1" t="s">
        <v>1133</v>
      </c>
      <c r="J237" s="1" t="s">
        <v>1134</v>
      </c>
      <c r="K237" s="1" t="s">
        <v>1135</v>
      </c>
      <c r="M237" s="1" t="s">
        <v>569</v>
      </c>
      <c r="N237" s="1" t="s">
        <v>23</v>
      </c>
      <c r="O237" s="1" t="str">
        <f>"94611"</f>
        <v>94611</v>
      </c>
    </row>
    <row r="238" spans="1:15" x14ac:dyDescent="0.2">
      <c r="A238" s="1" t="s">
        <v>1136</v>
      </c>
      <c r="B238" s="1" t="s">
        <v>1137</v>
      </c>
      <c r="C238" s="1">
        <v>1</v>
      </c>
      <c r="D238" s="2">
        <v>75</v>
      </c>
      <c r="E238" s="1" t="s">
        <v>17</v>
      </c>
      <c r="F238" s="1" t="s">
        <v>1138</v>
      </c>
      <c r="G238" s="1" t="s">
        <v>19</v>
      </c>
      <c r="H238" s="3">
        <v>0.83333333333333337</v>
      </c>
      <c r="I238" s="1" t="s">
        <v>1139</v>
      </c>
      <c r="J238" s="1">
        <v>9258251000</v>
      </c>
      <c r="K238" s="1" t="s">
        <v>1140</v>
      </c>
      <c r="M238" s="1" t="s">
        <v>1141</v>
      </c>
      <c r="N238" s="1" t="s">
        <v>23</v>
      </c>
      <c r="O238" s="1" t="str">
        <f>"94507"</f>
        <v>94507</v>
      </c>
    </row>
    <row r="239" spans="1:15" x14ac:dyDescent="0.2">
      <c r="A239" s="1" t="s">
        <v>1136</v>
      </c>
      <c r="B239" s="1" t="s">
        <v>1137</v>
      </c>
      <c r="C239" s="1">
        <v>1</v>
      </c>
      <c r="D239" s="2">
        <v>75</v>
      </c>
      <c r="E239" s="1" t="s">
        <v>17</v>
      </c>
      <c r="F239" s="1" t="s">
        <v>1142</v>
      </c>
      <c r="G239" s="1" t="s">
        <v>19</v>
      </c>
      <c r="H239" s="3">
        <v>0.83333333333333337</v>
      </c>
      <c r="I239" s="1" t="s">
        <v>1139</v>
      </c>
      <c r="J239" s="1">
        <v>9258251000</v>
      </c>
      <c r="K239" s="1" t="s">
        <v>1140</v>
      </c>
      <c r="M239" s="1" t="s">
        <v>1141</v>
      </c>
      <c r="N239" s="1" t="s">
        <v>23</v>
      </c>
      <c r="O239" s="1" t="str">
        <f>"94507"</f>
        <v>94507</v>
      </c>
    </row>
    <row r="240" spans="1:15" x14ac:dyDescent="0.2">
      <c r="A240" s="1" t="s">
        <v>1143</v>
      </c>
      <c r="B240" s="1" t="s">
        <v>225</v>
      </c>
      <c r="C240" s="1">
        <v>1</v>
      </c>
      <c r="D240" s="2">
        <v>75</v>
      </c>
      <c r="E240" s="1" t="s">
        <v>17</v>
      </c>
      <c r="F240" s="1" t="s">
        <v>1144</v>
      </c>
      <c r="G240" s="1" t="s">
        <v>19</v>
      </c>
      <c r="H240" s="3">
        <v>0.83333333333333337</v>
      </c>
      <c r="I240" s="1" t="s">
        <v>1145</v>
      </c>
      <c r="K240" s="1" t="s">
        <v>1146</v>
      </c>
      <c r="L240" s="1" t="s">
        <v>1147</v>
      </c>
      <c r="M240" s="1" t="s">
        <v>1070</v>
      </c>
      <c r="N240" s="1" t="s">
        <v>23</v>
      </c>
      <c r="O240" s="1" t="str">
        <f>"94519"</f>
        <v>94519</v>
      </c>
    </row>
    <row r="241" spans="1:15" x14ac:dyDescent="0.2">
      <c r="A241" s="1" t="s">
        <v>1143</v>
      </c>
      <c r="B241" s="1" t="s">
        <v>1148</v>
      </c>
      <c r="C241" s="1">
        <v>2</v>
      </c>
      <c r="D241" s="2">
        <v>50</v>
      </c>
      <c r="E241" s="1" t="s">
        <v>17</v>
      </c>
      <c r="F241" s="1" t="s">
        <v>1149</v>
      </c>
      <c r="G241" s="1" t="s">
        <v>19</v>
      </c>
      <c r="H241" s="3">
        <v>0.83333333333333337</v>
      </c>
      <c r="I241" s="1" t="s">
        <v>1150</v>
      </c>
      <c r="K241" s="1" t="s">
        <v>1151</v>
      </c>
      <c r="L241" s="1" t="s">
        <v>1152</v>
      </c>
      <c r="M241" s="1" t="s">
        <v>1153</v>
      </c>
      <c r="N241" s="1" t="s">
        <v>23</v>
      </c>
      <c r="O241" s="1" t="str">
        <f>"94401"</f>
        <v>94401</v>
      </c>
    </row>
    <row r="242" spans="1:15" x14ac:dyDescent="0.2">
      <c r="A242" s="1" t="s">
        <v>1154</v>
      </c>
      <c r="B242" s="1" t="s">
        <v>1155</v>
      </c>
      <c r="C242" s="1">
        <v>1</v>
      </c>
      <c r="D242" s="2">
        <v>50</v>
      </c>
      <c r="E242" s="1" t="s">
        <v>17</v>
      </c>
      <c r="F242" s="1" t="s">
        <v>1156</v>
      </c>
      <c r="G242" s="1" t="s">
        <v>19</v>
      </c>
      <c r="H242" s="3">
        <v>0.83333333333333337</v>
      </c>
      <c r="I242" s="1" t="s">
        <v>1157</v>
      </c>
      <c r="K242" s="1" t="s">
        <v>1158</v>
      </c>
      <c r="M242" s="1" t="s">
        <v>591</v>
      </c>
      <c r="N242" s="1" t="s">
        <v>23</v>
      </c>
      <c r="O242" s="1" t="str">
        <f>"94618"</f>
        <v>94618</v>
      </c>
    </row>
    <row r="243" spans="1:15" x14ac:dyDescent="0.2">
      <c r="A243" s="1" t="s">
        <v>1154</v>
      </c>
      <c r="B243" s="1" t="s">
        <v>1155</v>
      </c>
      <c r="C243" s="1">
        <v>1</v>
      </c>
      <c r="D243" s="2">
        <v>50</v>
      </c>
      <c r="E243" s="1" t="s">
        <v>17</v>
      </c>
      <c r="F243" s="1" t="s">
        <v>1159</v>
      </c>
      <c r="G243" s="1" t="s">
        <v>19</v>
      </c>
      <c r="H243" s="3">
        <v>0.83333333333333337</v>
      </c>
      <c r="I243" s="1" t="s">
        <v>1157</v>
      </c>
      <c r="K243" s="1" t="s">
        <v>1158</v>
      </c>
      <c r="M243" s="1" t="s">
        <v>591</v>
      </c>
      <c r="N243" s="1" t="s">
        <v>23</v>
      </c>
      <c r="O243" s="1" t="str">
        <f>"94618"</f>
        <v>94618</v>
      </c>
    </row>
    <row r="244" spans="1:15" x14ac:dyDescent="0.2">
      <c r="A244" s="1" t="s">
        <v>1160</v>
      </c>
      <c r="B244" s="1" t="s">
        <v>1161</v>
      </c>
      <c r="C244" s="1">
        <v>2</v>
      </c>
      <c r="D244" s="2">
        <v>65</v>
      </c>
      <c r="E244" s="1" t="s">
        <v>17</v>
      </c>
      <c r="F244" s="1" t="s">
        <v>1162</v>
      </c>
      <c r="G244" s="1" t="s">
        <v>19</v>
      </c>
      <c r="H244" s="3">
        <v>0.83333333333333337</v>
      </c>
      <c r="I244" s="1" t="s">
        <v>1163</v>
      </c>
      <c r="K244" s="1" t="s">
        <v>1164</v>
      </c>
      <c r="L244" s="1" t="s">
        <v>1165</v>
      </c>
      <c r="M244" s="1" t="s">
        <v>305</v>
      </c>
      <c r="N244" s="1" t="s">
        <v>23</v>
      </c>
      <c r="O244" s="1" t="str">
        <f>"94117"</f>
        <v>94117</v>
      </c>
    </row>
    <row r="245" spans="1:15" x14ac:dyDescent="0.2">
      <c r="A245" s="1" t="s">
        <v>1166</v>
      </c>
      <c r="B245" s="1" t="s">
        <v>1167</v>
      </c>
      <c r="C245" s="1">
        <v>2</v>
      </c>
      <c r="D245" s="2">
        <v>65</v>
      </c>
      <c r="E245" s="1" t="s">
        <v>17</v>
      </c>
      <c r="F245" s="1" t="s">
        <v>1168</v>
      </c>
      <c r="G245" s="1" t="s">
        <v>19</v>
      </c>
      <c r="H245" s="3">
        <v>0.83333333333333337</v>
      </c>
      <c r="I245" s="1" t="s">
        <v>1169</v>
      </c>
      <c r="J245" s="1">
        <v>2066498399</v>
      </c>
      <c r="K245" s="1" t="s">
        <v>1170</v>
      </c>
      <c r="M245" s="1" t="s">
        <v>1171</v>
      </c>
      <c r="N245" s="1" t="s">
        <v>886</v>
      </c>
      <c r="O245" s="1" t="str">
        <f>"98188"</f>
        <v>98188</v>
      </c>
    </row>
    <row r="246" spans="1:15" x14ac:dyDescent="0.2">
      <c r="A246" s="1" t="s">
        <v>1166</v>
      </c>
      <c r="B246" s="1" t="s">
        <v>1167</v>
      </c>
      <c r="C246" s="1">
        <v>2</v>
      </c>
      <c r="D246" s="2">
        <v>65</v>
      </c>
      <c r="E246" s="1" t="s">
        <v>17</v>
      </c>
      <c r="F246" s="1" t="s">
        <v>1172</v>
      </c>
      <c r="G246" s="1" t="s">
        <v>19</v>
      </c>
      <c r="H246" s="3">
        <v>0.83333333333333337</v>
      </c>
      <c r="I246" s="1" t="s">
        <v>1169</v>
      </c>
      <c r="J246" s="1">
        <v>2066498399</v>
      </c>
      <c r="K246" s="1" t="s">
        <v>1170</v>
      </c>
      <c r="M246" s="1" t="s">
        <v>1171</v>
      </c>
      <c r="N246" s="1" t="s">
        <v>886</v>
      </c>
      <c r="O246" s="1" t="str">
        <f>"98188"</f>
        <v>98188</v>
      </c>
    </row>
    <row r="247" spans="1:15" x14ac:dyDescent="0.2">
      <c r="A247" s="1" t="s">
        <v>1173</v>
      </c>
      <c r="B247" s="1" t="s">
        <v>1174</v>
      </c>
      <c r="C247" s="1">
        <v>2</v>
      </c>
      <c r="D247" s="2">
        <v>65</v>
      </c>
      <c r="E247" s="1" t="s">
        <v>17</v>
      </c>
      <c r="F247" s="1" t="s">
        <v>1175</v>
      </c>
      <c r="G247" s="1" t="s">
        <v>19</v>
      </c>
      <c r="H247" s="3">
        <v>0.83333333333333337</v>
      </c>
      <c r="I247" s="1" t="s">
        <v>1176</v>
      </c>
      <c r="J247" s="1">
        <v>5103259805</v>
      </c>
      <c r="K247" s="1" t="s">
        <v>1177</v>
      </c>
      <c r="M247" s="1" t="s">
        <v>1178</v>
      </c>
      <c r="N247" s="1" t="s">
        <v>23</v>
      </c>
      <c r="O247" s="1" t="str">
        <f>"94534-4118"</f>
        <v>94534-4118</v>
      </c>
    </row>
    <row r="248" spans="1:15" x14ac:dyDescent="0.2">
      <c r="A248" s="1" t="s">
        <v>1179</v>
      </c>
      <c r="B248" s="1" t="s">
        <v>1180</v>
      </c>
      <c r="C248" s="1">
        <v>2</v>
      </c>
      <c r="D248" s="2">
        <v>50</v>
      </c>
      <c r="E248" s="1" t="s">
        <v>17</v>
      </c>
      <c r="F248" s="1" t="s">
        <v>1181</v>
      </c>
      <c r="G248" s="1" t="s">
        <v>19</v>
      </c>
      <c r="H248" s="3">
        <v>0.83333333333333337</v>
      </c>
      <c r="I248" s="1" t="s">
        <v>1182</v>
      </c>
      <c r="J248" s="1">
        <v>4153210294</v>
      </c>
      <c r="K248" s="1" t="s">
        <v>1183</v>
      </c>
      <c r="M248" s="1" t="s">
        <v>569</v>
      </c>
      <c r="N248" s="1" t="s">
        <v>23</v>
      </c>
      <c r="O248" s="1" t="str">
        <f>"94612"</f>
        <v>94612</v>
      </c>
    </row>
    <row r="249" spans="1:15" x14ac:dyDescent="0.2">
      <c r="A249" s="1" t="s">
        <v>1184</v>
      </c>
      <c r="B249" s="1" t="s">
        <v>1185</v>
      </c>
      <c r="C249" s="1">
        <v>2</v>
      </c>
      <c r="D249" s="2">
        <v>50</v>
      </c>
      <c r="E249" s="1" t="s">
        <v>17</v>
      </c>
      <c r="F249" s="1" t="s">
        <v>1186</v>
      </c>
      <c r="G249" s="1" t="s">
        <v>19</v>
      </c>
      <c r="H249" s="3">
        <v>0.83333333333333337</v>
      </c>
      <c r="I249" s="1" t="s">
        <v>1187</v>
      </c>
      <c r="K249" s="1" t="s">
        <v>1188</v>
      </c>
      <c r="M249" s="1" t="s">
        <v>1189</v>
      </c>
      <c r="N249" s="1" t="s">
        <v>23</v>
      </c>
      <c r="O249" s="1" t="str">
        <f>"94708"</f>
        <v>94708</v>
      </c>
    </row>
    <row r="250" spans="1:15" x14ac:dyDescent="0.2">
      <c r="A250" s="1" t="s">
        <v>1190</v>
      </c>
      <c r="B250" s="1" t="s">
        <v>1191</v>
      </c>
      <c r="C250" s="1">
        <v>4</v>
      </c>
      <c r="D250" s="2">
        <v>110</v>
      </c>
      <c r="E250" s="1" t="s">
        <v>17</v>
      </c>
      <c r="F250" s="1" t="s">
        <v>1192</v>
      </c>
      <c r="G250" s="1" t="s">
        <v>19</v>
      </c>
      <c r="H250" s="3">
        <v>0.83333333333333337</v>
      </c>
      <c r="I250" s="1" t="s">
        <v>1193</v>
      </c>
      <c r="K250" s="1" t="s">
        <v>1194</v>
      </c>
      <c r="M250" s="1" t="s">
        <v>394</v>
      </c>
      <c r="N250" s="1" t="s">
        <v>23</v>
      </c>
      <c r="O250" s="1" t="str">
        <f>"94507"</f>
        <v>94507</v>
      </c>
    </row>
    <row r="251" spans="1:15" x14ac:dyDescent="0.2">
      <c r="A251" s="1" t="s">
        <v>1190</v>
      </c>
      <c r="B251" s="1" t="s">
        <v>1191</v>
      </c>
      <c r="C251" s="1">
        <v>2</v>
      </c>
      <c r="D251" s="2">
        <v>110</v>
      </c>
      <c r="E251" s="1" t="s">
        <v>17</v>
      </c>
      <c r="F251" s="1" t="s">
        <v>1195</v>
      </c>
      <c r="G251" s="1" t="s">
        <v>19</v>
      </c>
      <c r="H251" s="3">
        <v>0.83333333333333337</v>
      </c>
      <c r="I251" s="1" t="s">
        <v>1193</v>
      </c>
      <c r="K251" s="1" t="s">
        <v>1194</v>
      </c>
      <c r="M251" s="1" t="s">
        <v>394</v>
      </c>
      <c r="N251" s="1" t="s">
        <v>23</v>
      </c>
      <c r="O251" s="1" t="str">
        <f>"94507"</f>
        <v>94507</v>
      </c>
    </row>
    <row r="252" spans="1:15" x14ac:dyDescent="0.2">
      <c r="A252" s="1" t="s">
        <v>1196</v>
      </c>
      <c r="B252" s="1" t="s">
        <v>475</v>
      </c>
      <c r="C252" s="1">
        <v>2</v>
      </c>
      <c r="D252" s="2">
        <v>75</v>
      </c>
      <c r="E252" s="1" t="s">
        <v>17</v>
      </c>
      <c r="F252" s="1" t="s">
        <v>1197</v>
      </c>
      <c r="G252" s="1" t="s">
        <v>19</v>
      </c>
      <c r="H252" s="3">
        <v>0.83333333333333337</v>
      </c>
      <c r="I252" s="1" t="s">
        <v>1198</v>
      </c>
      <c r="K252" s="1" t="s">
        <v>1199</v>
      </c>
      <c r="M252" s="1" t="s">
        <v>177</v>
      </c>
      <c r="N252" s="1" t="s">
        <v>23</v>
      </c>
      <c r="O252" s="1" t="str">
        <f>"15337"</f>
        <v>15337</v>
      </c>
    </row>
    <row r="253" spans="1:15" x14ac:dyDescent="0.2">
      <c r="A253" s="1" t="s">
        <v>1200</v>
      </c>
      <c r="B253" s="1" t="s">
        <v>1012</v>
      </c>
      <c r="C253" s="1">
        <v>2</v>
      </c>
      <c r="D253" s="2">
        <v>65</v>
      </c>
      <c r="E253" s="1" t="s">
        <v>17</v>
      </c>
      <c r="F253" s="1" t="s">
        <v>1201</v>
      </c>
      <c r="G253" s="1" t="s">
        <v>19</v>
      </c>
      <c r="H253" s="3">
        <v>0.83333333333333337</v>
      </c>
      <c r="I253" s="1" t="s">
        <v>1202</v>
      </c>
      <c r="J253" s="1">
        <v>4159420260</v>
      </c>
      <c r="K253" s="1" t="s">
        <v>1203</v>
      </c>
      <c r="M253" s="1" t="s">
        <v>744</v>
      </c>
      <c r="N253" s="1" t="s">
        <v>23</v>
      </c>
      <c r="O253" s="1" t="str">
        <f>"94583"</f>
        <v>94583</v>
      </c>
    </row>
    <row r="254" spans="1:15" x14ac:dyDescent="0.2">
      <c r="A254" s="1" t="s">
        <v>1204</v>
      </c>
      <c r="B254" s="1" t="s">
        <v>1205</v>
      </c>
      <c r="C254" s="1">
        <v>2</v>
      </c>
      <c r="D254" s="2">
        <v>50</v>
      </c>
      <c r="E254" s="1" t="s">
        <v>17</v>
      </c>
      <c r="F254" s="1" t="s">
        <v>1206</v>
      </c>
      <c r="G254" s="1" t="s">
        <v>19</v>
      </c>
      <c r="H254" s="3">
        <v>0.83333333333333337</v>
      </c>
      <c r="I254" s="1" t="s">
        <v>1207</v>
      </c>
      <c r="K254" s="1" t="s">
        <v>1208</v>
      </c>
      <c r="L254" s="1" t="s">
        <v>1209</v>
      </c>
      <c r="M254" s="1" t="s">
        <v>51</v>
      </c>
      <c r="N254" s="1" t="s">
        <v>23</v>
      </c>
      <c r="O254" s="1" t="str">
        <f>"94109"</f>
        <v>94109</v>
      </c>
    </row>
    <row r="255" spans="1:15" x14ac:dyDescent="0.2">
      <c r="A255" s="1" t="s">
        <v>1210</v>
      </c>
      <c r="B255" s="1" t="s">
        <v>1211</v>
      </c>
      <c r="C255" s="1">
        <v>4</v>
      </c>
      <c r="D255" s="2">
        <v>65</v>
      </c>
      <c r="E255" s="1" t="s">
        <v>17</v>
      </c>
      <c r="F255" s="1" t="s">
        <v>1212</v>
      </c>
      <c r="G255" s="1" t="s">
        <v>19</v>
      </c>
      <c r="H255" s="3">
        <v>0.83333333333333337</v>
      </c>
      <c r="I255" s="1" t="s">
        <v>1213</v>
      </c>
      <c r="K255" s="1" t="s">
        <v>1214</v>
      </c>
      <c r="M255" s="1" t="s">
        <v>563</v>
      </c>
      <c r="N255" s="1" t="s">
        <v>23</v>
      </c>
      <c r="O255" s="1" t="str">
        <f>"94901"</f>
        <v>94901</v>
      </c>
    </row>
    <row r="256" spans="1:15" x14ac:dyDescent="0.2">
      <c r="A256" s="1" t="s">
        <v>1215</v>
      </c>
      <c r="B256" s="1" t="s">
        <v>1216</v>
      </c>
      <c r="C256" s="1">
        <v>2</v>
      </c>
      <c r="D256" s="2">
        <v>50</v>
      </c>
      <c r="E256" s="1" t="s">
        <v>17</v>
      </c>
      <c r="F256" s="1" t="s">
        <v>1217</v>
      </c>
      <c r="G256" s="1" t="s">
        <v>19</v>
      </c>
      <c r="H256" s="3">
        <v>0.83333333333333337</v>
      </c>
      <c r="I256" s="1" t="s">
        <v>1218</v>
      </c>
      <c r="K256" s="1" t="s">
        <v>1219</v>
      </c>
      <c r="M256" s="1" t="s">
        <v>1220</v>
      </c>
      <c r="N256" s="1" t="s">
        <v>23</v>
      </c>
      <c r="O256" s="1" t="str">
        <f>"94960"</f>
        <v>94960</v>
      </c>
    </row>
    <row r="257" spans="1:15" x14ac:dyDescent="0.2">
      <c r="A257" s="1" t="s">
        <v>1221</v>
      </c>
      <c r="B257" s="1" t="s">
        <v>1222</v>
      </c>
      <c r="C257" s="1">
        <v>2</v>
      </c>
      <c r="D257" s="2">
        <v>125</v>
      </c>
      <c r="E257" s="1" t="s">
        <v>17</v>
      </c>
      <c r="F257" s="1" t="s">
        <v>1223</v>
      </c>
      <c r="G257" s="1" t="s">
        <v>19</v>
      </c>
      <c r="H257" s="3">
        <v>0.83333333333333337</v>
      </c>
      <c r="I257" s="1" t="s">
        <v>1224</v>
      </c>
      <c r="K257" s="1" t="s">
        <v>1225</v>
      </c>
      <c r="M257" s="1" t="s">
        <v>1226</v>
      </c>
      <c r="N257" s="1" t="s">
        <v>23</v>
      </c>
      <c r="O257" s="1" t="str">
        <f>"95648"</f>
        <v>95648</v>
      </c>
    </row>
    <row r="258" spans="1:15" x14ac:dyDescent="0.2">
      <c r="A258" s="1" t="s">
        <v>1227</v>
      </c>
      <c r="B258" s="1" t="s">
        <v>1228</v>
      </c>
      <c r="C258" s="1">
        <v>2</v>
      </c>
      <c r="D258" s="2">
        <v>110</v>
      </c>
      <c r="E258" s="1" t="s">
        <v>17</v>
      </c>
      <c r="F258" s="1" t="s">
        <v>1229</v>
      </c>
      <c r="G258" s="1" t="s">
        <v>19</v>
      </c>
      <c r="H258" s="3">
        <v>0.83333333333333337</v>
      </c>
      <c r="I258" s="1" t="s">
        <v>1230</v>
      </c>
      <c r="K258" s="1" t="s">
        <v>1231</v>
      </c>
      <c r="L258" s="1" t="s">
        <v>1232</v>
      </c>
      <c r="M258" s="1" t="s">
        <v>305</v>
      </c>
      <c r="N258" s="1" t="s">
        <v>23</v>
      </c>
      <c r="O258" s="1" t="str">
        <f>"94118"</f>
        <v>94118</v>
      </c>
    </row>
    <row r="259" spans="1:15" x14ac:dyDescent="0.2">
      <c r="A259" s="1" t="s">
        <v>1233</v>
      </c>
      <c r="B259" s="1" t="s">
        <v>1234</v>
      </c>
      <c r="C259" s="1">
        <v>2</v>
      </c>
      <c r="D259" s="2">
        <v>65</v>
      </c>
      <c r="E259" s="1" t="s">
        <v>17</v>
      </c>
      <c r="F259" s="1" t="s">
        <v>1235</v>
      </c>
      <c r="G259" s="1" t="s">
        <v>19</v>
      </c>
      <c r="H259" s="3">
        <v>0.83333333333333337</v>
      </c>
      <c r="I259" s="1" t="s">
        <v>1236</v>
      </c>
      <c r="J259" s="1">
        <v>6508106971</v>
      </c>
      <c r="K259" s="1" t="s">
        <v>1237</v>
      </c>
      <c r="M259" s="1" t="s">
        <v>1038</v>
      </c>
      <c r="N259" s="1" t="s">
        <v>23</v>
      </c>
      <c r="O259" s="1" t="str">
        <f>"94539"</f>
        <v>94539</v>
      </c>
    </row>
    <row r="260" spans="1:15" x14ac:dyDescent="0.2">
      <c r="A260" s="1" t="s">
        <v>1238</v>
      </c>
      <c r="B260" s="1" t="s">
        <v>1239</v>
      </c>
      <c r="C260" s="1">
        <v>2</v>
      </c>
      <c r="D260" s="2">
        <v>75</v>
      </c>
      <c r="E260" s="1" t="s">
        <v>17</v>
      </c>
      <c r="F260" s="1" t="s">
        <v>1240</v>
      </c>
      <c r="G260" s="1" t="s">
        <v>19</v>
      </c>
      <c r="H260" s="3">
        <v>0.83333333333333337</v>
      </c>
      <c r="I260" s="1" t="s">
        <v>1241</v>
      </c>
      <c r="K260" s="1" t="s">
        <v>1242</v>
      </c>
      <c r="M260" s="1" t="s">
        <v>1243</v>
      </c>
      <c r="N260" s="1" t="s">
        <v>23</v>
      </c>
      <c r="O260" s="1" t="str">
        <f>"90278"</f>
        <v>90278</v>
      </c>
    </row>
    <row r="261" spans="1:15" x14ac:dyDescent="0.2">
      <c r="A261" s="1" t="s">
        <v>1244</v>
      </c>
      <c r="B261" s="1" t="s">
        <v>1245</v>
      </c>
      <c r="C261" s="1">
        <v>1</v>
      </c>
      <c r="D261" s="2">
        <v>35</v>
      </c>
      <c r="E261" s="1" t="s">
        <v>17</v>
      </c>
      <c r="F261" s="1" t="s">
        <v>1246</v>
      </c>
      <c r="G261" s="1" t="s">
        <v>19</v>
      </c>
      <c r="H261" s="3">
        <v>0.83333333333333337</v>
      </c>
      <c r="I261" s="1" t="s">
        <v>1247</v>
      </c>
      <c r="K261" s="1" t="s">
        <v>1248</v>
      </c>
      <c r="L261" s="1" t="s">
        <v>326</v>
      </c>
      <c r="M261" s="1" t="s">
        <v>51</v>
      </c>
      <c r="N261" s="1" t="s">
        <v>23</v>
      </c>
      <c r="O261" s="1" t="str">
        <f>"94109"</f>
        <v>94109</v>
      </c>
    </row>
    <row r="262" spans="1:15" x14ac:dyDescent="0.2">
      <c r="A262" s="1" t="s">
        <v>1249</v>
      </c>
      <c r="B262" s="1" t="s">
        <v>1250</v>
      </c>
      <c r="C262" s="1">
        <v>6</v>
      </c>
      <c r="D262" s="2">
        <v>50</v>
      </c>
      <c r="E262" s="1" t="s">
        <v>17</v>
      </c>
      <c r="F262" s="1" t="s">
        <v>1251</v>
      </c>
      <c r="G262" s="1" t="s">
        <v>19</v>
      </c>
      <c r="H262" s="3">
        <v>0.83333333333333337</v>
      </c>
      <c r="I262" s="1" t="s">
        <v>1252</v>
      </c>
      <c r="J262" s="1">
        <v>9495840714</v>
      </c>
      <c r="K262" s="1" t="s">
        <v>1253</v>
      </c>
      <c r="M262" s="1" t="s">
        <v>1254</v>
      </c>
      <c r="N262" s="1" t="s">
        <v>23</v>
      </c>
      <c r="O262" s="1" t="str">
        <f>"94114"</f>
        <v>94114</v>
      </c>
    </row>
    <row r="263" spans="1:15" x14ac:dyDescent="0.2">
      <c r="A263" s="1" t="s">
        <v>1249</v>
      </c>
      <c r="B263" s="1" t="s">
        <v>1250</v>
      </c>
      <c r="C263" s="1">
        <v>5</v>
      </c>
      <c r="D263" s="2">
        <v>50</v>
      </c>
      <c r="E263" s="1" t="s">
        <v>17</v>
      </c>
      <c r="F263" s="1" t="s">
        <v>1255</v>
      </c>
      <c r="G263" s="1" t="s">
        <v>19</v>
      </c>
      <c r="H263" s="3">
        <v>0.83333333333333337</v>
      </c>
      <c r="I263" s="1" t="s">
        <v>1252</v>
      </c>
      <c r="J263" s="1">
        <v>9495840714</v>
      </c>
      <c r="K263" s="1" t="s">
        <v>1253</v>
      </c>
      <c r="M263" s="1" t="s">
        <v>1254</v>
      </c>
      <c r="N263" s="1" t="s">
        <v>23</v>
      </c>
      <c r="O263" s="1" t="str">
        <f>"94114"</f>
        <v>94114</v>
      </c>
    </row>
    <row r="264" spans="1:15" x14ac:dyDescent="0.2">
      <c r="A264" s="1" t="s">
        <v>1249</v>
      </c>
      <c r="B264" s="1" t="s">
        <v>1250</v>
      </c>
      <c r="C264" s="1">
        <v>1</v>
      </c>
      <c r="D264" s="2">
        <v>50</v>
      </c>
      <c r="E264" s="1" t="s">
        <v>17</v>
      </c>
      <c r="F264" s="1" t="s">
        <v>1256</v>
      </c>
      <c r="G264" s="1" t="s">
        <v>19</v>
      </c>
      <c r="H264" s="3">
        <v>0.83333333333333337</v>
      </c>
      <c r="I264" s="1" t="s">
        <v>1252</v>
      </c>
      <c r="J264" s="1">
        <v>9495840714</v>
      </c>
      <c r="K264" s="1" t="s">
        <v>1253</v>
      </c>
      <c r="M264" s="1" t="s">
        <v>1254</v>
      </c>
      <c r="N264" s="1" t="s">
        <v>23</v>
      </c>
      <c r="O264" s="1" t="str">
        <f>"94114"</f>
        <v>94114</v>
      </c>
    </row>
    <row r="265" spans="1:15" x14ac:dyDescent="0.2">
      <c r="A265" s="1" t="s">
        <v>1257</v>
      </c>
      <c r="B265" s="1" t="s">
        <v>1258</v>
      </c>
      <c r="C265" s="1">
        <v>2</v>
      </c>
      <c r="D265" s="2">
        <v>65</v>
      </c>
      <c r="E265" s="1" t="s">
        <v>17</v>
      </c>
      <c r="F265" s="1" t="s">
        <v>1259</v>
      </c>
      <c r="G265" s="1" t="s">
        <v>19</v>
      </c>
      <c r="H265" s="3">
        <v>0.83333333333333337</v>
      </c>
      <c r="I265" s="1" t="s">
        <v>1260</v>
      </c>
      <c r="K265" s="1" t="s">
        <v>1261</v>
      </c>
      <c r="M265" s="1" t="s">
        <v>1262</v>
      </c>
      <c r="N265" s="1" t="s">
        <v>23</v>
      </c>
      <c r="O265" s="1" t="str">
        <f>"95035"</f>
        <v>95035</v>
      </c>
    </row>
    <row r="266" spans="1:15" x14ac:dyDescent="0.2">
      <c r="A266" s="1" t="s">
        <v>1263</v>
      </c>
      <c r="B266" s="1" t="s">
        <v>475</v>
      </c>
      <c r="C266" s="1">
        <v>2</v>
      </c>
      <c r="D266" s="2">
        <v>75</v>
      </c>
      <c r="E266" s="1" t="s">
        <v>17</v>
      </c>
      <c r="F266" s="1" t="s">
        <v>1264</v>
      </c>
      <c r="G266" s="1" t="s">
        <v>19</v>
      </c>
      <c r="H266" s="3">
        <v>0.83333333333333337</v>
      </c>
      <c r="I266" s="1" t="s">
        <v>1265</v>
      </c>
      <c r="K266" s="1" t="s">
        <v>1266</v>
      </c>
      <c r="M266" s="1" t="s">
        <v>298</v>
      </c>
      <c r="N266" s="1" t="s">
        <v>23</v>
      </c>
      <c r="O266" s="1" t="str">
        <f>"94506"</f>
        <v>94506</v>
      </c>
    </row>
    <row r="267" spans="1:15" x14ac:dyDescent="0.2">
      <c r="A267" s="1" t="s">
        <v>1267</v>
      </c>
      <c r="B267" s="1" t="s">
        <v>1268</v>
      </c>
      <c r="C267" s="1">
        <v>4</v>
      </c>
      <c r="D267" s="2">
        <v>75</v>
      </c>
      <c r="E267" s="1" t="s">
        <v>17</v>
      </c>
      <c r="F267" s="1" t="s">
        <v>1269</v>
      </c>
      <c r="G267" s="1" t="s">
        <v>19</v>
      </c>
      <c r="H267" s="3">
        <v>0.83333333333333337</v>
      </c>
      <c r="I267" s="1" t="s">
        <v>1270</v>
      </c>
      <c r="J267" s="1">
        <v>4157178753</v>
      </c>
      <c r="K267" s="1" t="s">
        <v>1271</v>
      </c>
      <c r="L267" s="1" t="s">
        <v>703</v>
      </c>
      <c r="M267" s="1" t="s">
        <v>51</v>
      </c>
      <c r="N267" s="1" t="s">
        <v>23</v>
      </c>
      <c r="O267" s="1" t="str">
        <f>"94115"</f>
        <v>94115</v>
      </c>
    </row>
    <row r="268" spans="1:15" x14ac:dyDescent="0.2">
      <c r="A268" s="1" t="s">
        <v>1272</v>
      </c>
      <c r="B268" s="1" t="s">
        <v>407</v>
      </c>
      <c r="C268" s="1">
        <v>1</v>
      </c>
      <c r="D268" s="2">
        <v>50</v>
      </c>
      <c r="E268" s="1" t="s">
        <v>17</v>
      </c>
      <c r="F268" s="1" t="s">
        <v>1273</v>
      </c>
      <c r="G268" s="1" t="s">
        <v>19</v>
      </c>
      <c r="H268" s="3">
        <v>0.83333333333333337</v>
      </c>
      <c r="I268" s="1" t="s">
        <v>1274</v>
      </c>
      <c r="K268" s="1" t="s">
        <v>1275</v>
      </c>
      <c r="M268" s="1" t="s">
        <v>39</v>
      </c>
      <c r="N268" s="1" t="s">
        <v>23</v>
      </c>
      <c r="O268" s="1" t="str">
        <f>"94568"</f>
        <v>94568</v>
      </c>
    </row>
    <row r="269" spans="1:15" x14ac:dyDescent="0.2">
      <c r="A269" s="1" t="s">
        <v>1276</v>
      </c>
      <c r="B269" s="1" t="s">
        <v>752</v>
      </c>
      <c r="C269" s="1">
        <v>1</v>
      </c>
      <c r="D269" s="2">
        <v>75</v>
      </c>
      <c r="E269" s="1" t="s">
        <v>17</v>
      </c>
      <c r="F269" s="1" t="s">
        <v>1277</v>
      </c>
      <c r="G269" s="1" t="s">
        <v>19</v>
      </c>
      <c r="H269" s="3">
        <v>0.83333333333333337</v>
      </c>
      <c r="I269" s="1" t="s">
        <v>1278</v>
      </c>
      <c r="J269" s="1">
        <v>6184121982</v>
      </c>
      <c r="K269" s="1" t="s">
        <v>1279</v>
      </c>
      <c r="M269" s="1" t="s">
        <v>1038</v>
      </c>
      <c r="N269" s="1" t="s">
        <v>23</v>
      </c>
      <c r="O269" s="1" t="str">
        <f>"94538"</f>
        <v>94538</v>
      </c>
    </row>
    <row r="270" spans="1:15" x14ac:dyDescent="0.2">
      <c r="A270" s="1" t="s">
        <v>1280</v>
      </c>
      <c r="B270" s="1" t="s">
        <v>1281</v>
      </c>
      <c r="C270" s="1">
        <v>1</v>
      </c>
      <c r="D270" s="2">
        <v>110</v>
      </c>
      <c r="E270" s="1" t="s">
        <v>17</v>
      </c>
      <c r="F270" s="1" t="s">
        <v>1282</v>
      </c>
      <c r="G270" s="1" t="s">
        <v>19</v>
      </c>
      <c r="H270" s="3">
        <v>0.83333333333333337</v>
      </c>
      <c r="I270" s="1" t="s">
        <v>1283</v>
      </c>
      <c r="K270" s="1" t="s">
        <v>1284</v>
      </c>
      <c r="M270" s="1" t="s">
        <v>591</v>
      </c>
      <c r="N270" s="1" t="s">
        <v>23</v>
      </c>
      <c r="O270" s="1" t="str">
        <f>"94610"</f>
        <v>94610</v>
      </c>
    </row>
    <row r="271" spans="1:15" x14ac:dyDescent="0.2">
      <c r="A271" s="1" t="s">
        <v>1280</v>
      </c>
      <c r="B271" s="1" t="s">
        <v>1281</v>
      </c>
      <c r="C271" s="1">
        <v>1</v>
      </c>
      <c r="D271" s="2">
        <v>110</v>
      </c>
      <c r="E271" s="1" t="s">
        <v>17</v>
      </c>
      <c r="F271" s="1" t="s">
        <v>1285</v>
      </c>
      <c r="G271" s="1" t="s">
        <v>19</v>
      </c>
      <c r="H271" s="3">
        <v>0.83333333333333337</v>
      </c>
      <c r="I271" s="1" t="s">
        <v>1283</v>
      </c>
      <c r="K271" s="1" t="s">
        <v>1284</v>
      </c>
      <c r="M271" s="1" t="s">
        <v>591</v>
      </c>
      <c r="N271" s="1" t="s">
        <v>23</v>
      </c>
      <c r="O271" s="1" t="str">
        <f>"94610"</f>
        <v>94610</v>
      </c>
    </row>
    <row r="272" spans="1:15" x14ac:dyDescent="0.2">
      <c r="A272" s="1" t="s">
        <v>1286</v>
      </c>
      <c r="B272" s="1" t="s">
        <v>1287</v>
      </c>
      <c r="C272" s="1">
        <v>6</v>
      </c>
      <c r="D272" s="2">
        <v>50</v>
      </c>
      <c r="E272" s="1" t="s">
        <v>17</v>
      </c>
      <c r="F272" s="1" t="s">
        <v>1288</v>
      </c>
      <c r="G272" s="1" t="s">
        <v>19</v>
      </c>
      <c r="H272" s="3">
        <v>0.83333333333333337</v>
      </c>
      <c r="I272" s="1" t="s">
        <v>1289</v>
      </c>
      <c r="K272" s="1" t="s">
        <v>92</v>
      </c>
      <c r="M272" s="1" t="s">
        <v>93</v>
      </c>
      <c r="N272" s="1" t="s">
        <v>23</v>
      </c>
      <c r="O272" s="1" t="str">
        <f>"92679"</f>
        <v>92679</v>
      </c>
    </row>
    <row r="273" spans="1:15" x14ac:dyDescent="0.2">
      <c r="A273" s="1" t="s">
        <v>1290</v>
      </c>
      <c r="B273" s="1" t="s">
        <v>488</v>
      </c>
      <c r="C273" s="1">
        <v>2</v>
      </c>
      <c r="D273" s="2">
        <v>50</v>
      </c>
      <c r="E273" s="1" t="s">
        <v>17</v>
      </c>
      <c r="F273" s="1" t="s">
        <v>1291</v>
      </c>
      <c r="G273" s="1" t="s">
        <v>19</v>
      </c>
      <c r="H273" s="3">
        <v>0.83333333333333337</v>
      </c>
      <c r="I273" s="1" t="s">
        <v>1292</v>
      </c>
      <c r="K273" s="1" t="s">
        <v>1293</v>
      </c>
      <c r="M273" s="1" t="s">
        <v>1294</v>
      </c>
      <c r="N273" s="1" t="s">
        <v>23</v>
      </c>
      <c r="O273" s="1" t="str">
        <f>"90036"</f>
        <v>90036</v>
      </c>
    </row>
    <row r="274" spans="1:15" x14ac:dyDescent="0.2">
      <c r="A274" s="1" t="s">
        <v>1295</v>
      </c>
      <c r="B274" s="1" t="s">
        <v>375</v>
      </c>
      <c r="C274" s="1">
        <v>4</v>
      </c>
      <c r="D274" s="2">
        <v>50</v>
      </c>
      <c r="E274" s="1" t="s">
        <v>17</v>
      </c>
      <c r="F274" s="1" t="s">
        <v>1296</v>
      </c>
      <c r="G274" s="1" t="s">
        <v>19</v>
      </c>
      <c r="H274" s="3">
        <v>0.83333333333333337</v>
      </c>
      <c r="I274" s="1" t="s">
        <v>1297</v>
      </c>
      <c r="J274" s="1">
        <v>9259890753</v>
      </c>
      <c r="K274" s="1" t="s">
        <v>1298</v>
      </c>
      <c r="M274" s="1" t="s">
        <v>368</v>
      </c>
      <c r="N274" s="1" t="s">
        <v>23</v>
      </c>
      <c r="O274" s="1" t="str">
        <f>"94588-4768"</f>
        <v>94588-4768</v>
      </c>
    </row>
    <row r="275" spans="1:15" x14ac:dyDescent="0.2">
      <c r="A275" s="1" t="s">
        <v>1299</v>
      </c>
      <c r="B275" s="1" t="s">
        <v>488</v>
      </c>
      <c r="C275" s="1">
        <v>2</v>
      </c>
      <c r="D275" s="2">
        <v>75</v>
      </c>
      <c r="E275" s="1" t="s">
        <v>17</v>
      </c>
      <c r="F275" s="1" t="s">
        <v>1300</v>
      </c>
      <c r="G275" s="1" t="s">
        <v>19</v>
      </c>
      <c r="H275" s="3">
        <v>0.83333333333333337</v>
      </c>
      <c r="I275" s="1" t="s">
        <v>1301</v>
      </c>
      <c r="K275" s="1" t="s">
        <v>1302</v>
      </c>
      <c r="M275" s="1" t="s">
        <v>1303</v>
      </c>
      <c r="N275" s="1" t="s">
        <v>23</v>
      </c>
      <c r="O275" s="1" t="str">
        <f>"94533"</f>
        <v>94533</v>
      </c>
    </row>
    <row r="276" spans="1:15" x14ac:dyDescent="0.2">
      <c r="A276" s="1" t="s">
        <v>1304</v>
      </c>
      <c r="B276" s="1" t="s">
        <v>1305</v>
      </c>
      <c r="C276" s="1">
        <v>2</v>
      </c>
      <c r="D276" s="2">
        <v>50</v>
      </c>
      <c r="E276" s="1" t="s">
        <v>17</v>
      </c>
      <c r="F276" s="1" t="s">
        <v>1306</v>
      </c>
      <c r="G276" s="1" t="s">
        <v>19</v>
      </c>
      <c r="H276" s="3">
        <v>0.83333333333333337</v>
      </c>
      <c r="I276" s="1" t="s">
        <v>1307</v>
      </c>
      <c r="K276" s="1" t="s">
        <v>1308</v>
      </c>
      <c r="M276" s="1" t="s">
        <v>1309</v>
      </c>
      <c r="N276" s="1" t="s">
        <v>23</v>
      </c>
      <c r="O276" s="1" t="str">
        <f>"94553"</f>
        <v>94553</v>
      </c>
    </row>
    <row r="277" spans="1:15" x14ac:dyDescent="0.2">
      <c r="A277" s="1" t="s">
        <v>1310</v>
      </c>
      <c r="B277" s="1" t="s">
        <v>1311</v>
      </c>
      <c r="C277" s="1">
        <v>2</v>
      </c>
      <c r="D277" s="2">
        <v>65</v>
      </c>
      <c r="E277" s="1" t="s">
        <v>17</v>
      </c>
      <c r="F277" s="1" t="s">
        <v>1312</v>
      </c>
      <c r="G277" s="1" t="s">
        <v>19</v>
      </c>
      <c r="H277" s="3">
        <v>0.83333333333333337</v>
      </c>
      <c r="I277" s="1" t="s">
        <v>1313</v>
      </c>
      <c r="J277" s="1">
        <v>4154846864</v>
      </c>
      <c r="K277" s="1" t="s">
        <v>1314</v>
      </c>
      <c r="M277" s="1" t="s">
        <v>198</v>
      </c>
      <c r="N277" s="1" t="s">
        <v>23</v>
      </c>
      <c r="O277" s="1" t="str">
        <f>"94549"</f>
        <v>94549</v>
      </c>
    </row>
    <row r="278" spans="1:15" x14ac:dyDescent="0.2">
      <c r="A278" s="1" t="s">
        <v>1315</v>
      </c>
      <c r="B278" s="1" t="s">
        <v>1316</v>
      </c>
      <c r="C278" s="1">
        <v>1</v>
      </c>
      <c r="D278" s="2">
        <v>65</v>
      </c>
      <c r="E278" s="1" t="s">
        <v>17</v>
      </c>
      <c r="F278" s="1" t="s">
        <v>1317</v>
      </c>
      <c r="G278" s="1" t="s">
        <v>19</v>
      </c>
      <c r="H278" s="3">
        <v>0.83333333333333337</v>
      </c>
      <c r="I278" s="1" t="s">
        <v>1318</v>
      </c>
      <c r="K278" s="1" t="s">
        <v>1319</v>
      </c>
      <c r="M278" s="1" t="s">
        <v>1089</v>
      </c>
      <c r="N278" s="1" t="s">
        <v>23</v>
      </c>
      <c r="O278" s="1" t="str">
        <f>"94949"</f>
        <v>94949</v>
      </c>
    </row>
    <row r="279" spans="1:15" x14ac:dyDescent="0.2">
      <c r="A279" s="1" t="s">
        <v>1320</v>
      </c>
      <c r="B279" s="1" t="s">
        <v>746</v>
      </c>
      <c r="C279" s="1">
        <v>1</v>
      </c>
      <c r="D279" s="2">
        <v>110</v>
      </c>
      <c r="E279" s="1" t="s">
        <v>17</v>
      </c>
      <c r="F279" s="1" t="s">
        <v>1321</v>
      </c>
      <c r="G279" s="1" t="s">
        <v>19</v>
      </c>
      <c r="H279" s="3">
        <v>0.83333333333333337</v>
      </c>
      <c r="I279" s="1" t="s">
        <v>1322</v>
      </c>
      <c r="J279" s="1">
        <v>4158475744</v>
      </c>
      <c r="K279" s="1" t="s">
        <v>1323</v>
      </c>
      <c r="M279" s="1" t="s">
        <v>1324</v>
      </c>
      <c r="N279" s="1" t="s">
        <v>23</v>
      </c>
      <c r="O279" s="1" t="str">
        <f>"95032"</f>
        <v>95032</v>
      </c>
    </row>
    <row r="280" spans="1:15" x14ac:dyDescent="0.2">
      <c r="A280" s="1" t="s">
        <v>1320</v>
      </c>
      <c r="B280" s="1" t="s">
        <v>746</v>
      </c>
      <c r="C280" s="1">
        <v>1</v>
      </c>
      <c r="D280" s="2">
        <v>110</v>
      </c>
      <c r="E280" s="1" t="s">
        <v>17</v>
      </c>
      <c r="F280" s="1" t="s">
        <v>1325</v>
      </c>
      <c r="G280" s="1" t="s">
        <v>19</v>
      </c>
      <c r="H280" s="3">
        <v>0.83333333333333337</v>
      </c>
      <c r="I280" s="1" t="s">
        <v>1322</v>
      </c>
      <c r="J280" s="1">
        <v>4158475744</v>
      </c>
      <c r="K280" s="1" t="s">
        <v>1323</v>
      </c>
      <c r="M280" s="1" t="s">
        <v>1324</v>
      </c>
      <c r="N280" s="1" t="s">
        <v>23</v>
      </c>
      <c r="O280" s="1" t="str">
        <f>"95032"</f>
        <v>95032</v>
      </c>
    </row>
    <row r="281" spans="1:15" x14ac:dyDescent="0.2">
      <c r="A281" s="1" t="s">
        <v>1326</v>
      </c>
      <c r="B281" s="1" t="s">
        <v>718</v>
      </c>
      <c r="C281" s="1">
        <v>3</v>
      </c>
      <c r="D281" s="2">
        <v>50</v>
      </c>
      <c r="E281" s="1" t="s">
        <v>17</v>
      </c>
      <c r="F281" s="1" t="s">
        <v>1327</v>
      </c>
      <c r="G281" s="1" t="s">
        <v>19</v>
      </c>
      <c r="H281" s="3">
        <v>0.83333333333333337</v>
      </c>
      <c r="I281" s="1" t="s">
        <v>1328</v>
      </c>
      <c r="K281" s="1" t="s">
        <v>1329</v>
      </c>
      <c r="M281" s="1" t="s">
        <v>1330</v>
      </c>
      <c r="N281" s="1" t="s">
        <v>23</v>
      </c>
      <c r="O281" s="1" t="str">
        <f>"94553"</f>
        <v>94553</v>
      </c>
    </row>
    <row r="282" spans="1:15" x14ac:dyDescent="0.2">
      <c r="A282" s="1" t="s">
        <v>1331</v>
      </c>
      <c r="B282" s="1" t="s">
        <v>469</v>
      </c>
      <c r="C282" s="1">
        <v>2</v>
      </c>
      <c r="D282" s="2">
        <v>50</v>
      </c>
      <c r="E282" s="1" t="s">
        <v>17</v>
      </c>
      <c r="F282" s="1" t="s">
        <v>1332</v>
      </c>
      <c r="G282" s="1" t="s">
        <v>19</v>
      </c>
      <c r="H282" s="3">
        <v>0.83333333333333337</v>
      </c>
      <c r="I282" s="1" t="s">
        <v>1333</v>
      </c>
      <c r="K282" s="1" t="s">
        <v>1334</v>
      </c>
      <c r="M282" s="1" t="s">
        <v>327</v>
      </c>
      <c r="N282" s="1" t="s">
        <v>23</v>
      </c>
      <c r="O282" s="1" t="str">
        <f>"94598"</f>
        <v>94598</v>
      </c>
    </row>
    <row r="283" spans="1:15" x14ac:dyDescent="0.2">
      <c r="A283" s="1" t="s">
        <v>1331</v>
      </c>
      <c r="B283" s="1" t="s">
        <v>1024</v>
      </c>
      <c r="C283" s="1">
        <v>5</v>
      </c>
      <c r="D283" s="2">
        <v>65</v>
      </c>
      <c r="E283" s="1" t="s">
        <v>17</v>
      </c>
      <c r="F283" s="1" t="s">
        <v>1335</v>
      </c>
      <c r="G283" s="1" t="s">
        <v>19</v>
      </c>
      <c r="H283" s="3">
        <v>0.83333333333333337</v>
      </c>
      <c r="I283" s="1" t="s">
        <v>1336</v>
      </c>
      <c r="K283" s="1" t="s">
        <v>1337</v>
      </c>
      <c r="M283" s="1" t="s">
        <v>298</v>
      </c>
      <c r="N283" s="1" t="s">
        <v>23</v>
      </c>
      <c r="O283" s="1" t="str">
        <f>"94506"</f>
        <v>94506</v>
      </c>
    </row>
    <row r="284" spans="1:15" x14ac:dyDescent="0.2">
      <c r="A284" s="1" t="s">
        <v>1331</v>
      </c>
      <c r="B284" s="1" t="s">
        <v>1024</v>
      </c>
      <c r="C284" s="1">
        <v>1</v>
      </c>
      <c r="D284" s="2">
        <v>50</v>
      </c>
      <c r="E284" s="1" t="s">
        <v>17</v>
      </c>
      <c r="F284" s="1" t="s">
        <v>1338</v>
      </c>
      <c r="G284" s="1" t="s">
        <v>19</v>
      </c>
      <c r="H284" s="3">
        <v>0.83333333333333337</v>
      </c>
      <c r="I284" s="1" t="s">
        <v>1336</v>
      </c>
      <c r="K284" s="1" t="s">
        <v>1337</v>
      </c>
      <c r="M284" s="1" t="s">
        <v>298</v>
      </c>
      <c r="N284" s="1" t="s">
        <v>23</v>
      </c>
      <c r="O284" s="1" t="str">
        <f>"94506"</f>
        <v>94506</v>
      </c>
    </row>
    <row r="285" spans="1:15" x14ac:dyDescent="0.2">
      <c r="A285" s="1" t="s">
        <v>1339</v>
      </c>
      <c r="B285" s="1" t="s">
        <v>1340</v>
      </c>
      <c r="C285" s="1">
        <v>1</v>
      </c>
      <c r="D285" s="2">
        <v>65</v>
      </c>
      <c r="E285" s="1" t="s">
        <v>17</v>
      </c>
      <c r="F285" s="1" t="s">
        <v>1341</v>
      </c>
      <c r="G285" s="1" t="s">
        <v>19</v>
      </c>
      <c r="H285" s="3">
        <v>0.83333333333333337</v>
      </c>
      <c r="I285" s="1" t="s">
        <v>1342</v>
      </c>
      <c r="K285" s="1" t="s">
        <v>1343</v>
      </c>
      <c r="M285" s="1" t="s">
        <v>51</v>
      </c>
      <c r="N285" s="1" t="s">
        <v>23</v>
      </c>
      <c r="O285" s="1" t="str">
        <f>"94107"</f>
        <v>94107</v>
      </c>
    </row>
    <row r="286" spans="1:15" x14ac:dyDescent="0.2">
      <c r="A286" s="1" t="s">
        <v>1344</v>
      </c>
      <c r="B286" s="1" t="s">
        <v>1345</v>
      </c>
      <c r="C286" s="1">
        <v>2</v>
      </c>
      <c r="D286" s="2">
        <v>65</v>
      </c>
      <c r="E286" s="1" t="s">
        <v>17</v>
      </c>
      <c r="F286" s="1" t="s">
        <v>1346</v>
      </c>
      <c r="G286" s="1" t="s">
        <v>19</v>
      </c>
      <c r="H286" s="3">
        <v>0.83333333333333337</v>
      </c>
      <c r="I286" s="1" t="s">
        <v>1347</v>
      </c>
      <c r="K286" s="1" t="s">
        <v>1348</v>
      </c>
      <c r="M286" s="1" t="s">
        <v>1349</v>
      </c>
      <c r="N286" s="1" t="s">
        <v>23</v>
      </c>
      <c r="O286" s="1" t="str">
        <f>"94542"</f>
        <v>94542</v>
      </c>
    </row>
    <row r="287" spans="1:15" x14ac:dyDescent="0.2">
      <c r="A287" s="1" t="s">
        <v>1350</v>
      </c>
      <c r="B287" s="1" t="s">
        <v>95</v>
      </c>
      <c r="C287" s="1">
        <v>2</v>
      </c>
      <c r="D287" s="2">
        <v>65</v>
      </c>
      <c r="E287" s="1" t="s">
        <v>17</v>
      </c>
      <c r="F287" s="1" t="s">
        <v>1351</v>
      </c>
      <c r="G287" s="1" t="s">
        <v>19</v>
      </c>
      <c r="H287" s="3">
        <v>0.83333333333333337</v>
      </c>
      <c r="I287" s="1" t="s">
        <v>1352</v>
      </c>
      <c r="K287" s="1" t="s">
        <v>1353</v>
      </c>
      <c r="M287" s="1" t="s">
        <v>327</v>
      </c>
      <c r="N287" s="1" t="s">
        <v>23</v>
      </c>
      <c r="O287" s="1" t="str">
        <f>"94598"</f>
        <v>94598</v>
      </c>
    </row>
    <row r="288" spans="1:15" x14ac:dyDescent="0.2">
      <c r="A288" s="1" t="s">
        <v>1350</v>
      </c>
      <c r="B288" s="1" t="s">
        <v>95</v>
      </c>
      <c r="C288" s="1">
        <v>1</v>
      </c>
      <c r="D288" s="2">
        <v>65</v>
      </c>
      <c r="E288" s="1" t="s">
        <v>17</v>
      </c>
      <c r="F288" s="1" t="s">
        <v>1354</v>
      </c>
      <c r="G288" s="1" t="s">
        <v>19</v>
      </c>
      <c r="H288" s="3">
        <v>0.83333333333333337</v>
      </c>
      <c r="I288" s="1" t="s">
        <v>1352</v>
      </c>
      <c r="K288" s="1" t="s">
        <v>1353</v>
      </c>
      <c r="M288" s="1" t="s">
        <v>327</v>
      </c>
      <c r="N288" s="1" t="s">
        <v>23</v>
      </c>
      <c r="O288" s="1" t="str">
        <f>"94598"</f>
        <v>94598</v>
      </c>
    </row>
    <row r="289" spans="1:15" x14ac:dyDescent="0.2">
      <c r="A289" s="1" t="s">
        <v>1355</v>
      </c>
      <c r="B289" s="1" t="s">
        <v>1356</v>
      </c>
      <c r="C289" s="1">
        <v>3</v>
      </c>
      <c r="D289" s="2">
        <v>65</v>
      </c>
      <c r="E289" s="1" t="s">
        <v>17</v>
      </c>
      <c r="F289" s="1" t="s">
        <v>1357</v>
      </c>
      <c r="G289" s="1" t="s">
        <v>19</v>
      </c>
      <c r="H289" s="3">
        <v>0.83333333333333337</v>
      </c>
      <c r="I289" s="1" t="s">
        <v>1358</v>
      </c>
      <c r="J289" s="1">
        <v>4106623637</v>
      </c>
      <c r="K289" s="1" t="s">
        <v>1359</v>
      </c>
      <c r="M289" s="1" t="s">
        <v>1360</v>
      </c>
      <c r="N289" s="1" t="s">
        <v>23</v>
      </c>
      <c r="O289" s="1" t="str">
        <f>"94303"</f>
        <v>94303</v>
      </c>
    </row>
    <row r="290" spans="1:15" x14ac:dyDescent="0.2">
      <c r="A290" s="1" t="s">
        <v>1361</v>
      </c>
      <c r="B290" s="1" t="s">
        <v>1362</v>
      </c>
      <c r="C290" s="1">
        <v>4</v>
      </c>
      <c r="D290" s="2">
        <v>75</v>
      </c>
      <c r="E290" s="1" t="s">
        <v>17</v>
      </c>
      <c r="F290" s="1" t="s">
        <v>1363</v>
      </c>
      <c r="G290" s="1" t="s">
        <v>19</v>
      </c>
      <c r="H290" s="3">
        <v>0.83333333333333337</v>
      </c>
      <c r="I290" s="1" t="s">
        <v>1364</v>
      </c>
      <c r="K290" s="1" t="s">
        <v>1365</v>
      </c>
      <c r="L290" s="1" t="s">
        <v>1366</v>
      </c>
      <c r="M290" s="1" t="s">
        <v>305</v>
      </c>
      <c r="N290" s="1" t="s">
        <v>23</v>
      </c>
      <c r="O290" s="1" t="str">
        <f>"94105"</f>
        <v>94105</v>
      </c>
    </row>
    <row r="291" spans="1:15" x14ac:dyDescent="0.2">
      <c r="A291" s="1" t="s">
        <v>1367</v>
      </c>
      <c r="B291" s="1" t="s">
        <v>1368</v>
      </c>
      <c r="C291" s="1">
        <v>2</v>
      </c>
      <c r="D291" s="2">
        <v>65</v>
      </c>
      <c r="E291" s="1" t="s">
        <v>17</v>
      </c>
      <c r="F291" s="1" t="s">
        <v>1369</v>
      </c>
      <c r="G291" s="1" t="s">
        <v>19</v>
      </c>
      <c r="H291" s="3">
        <v>0.83333333333333337</v>
      </c>
      <c r="I291" s="1" t="s">
        <v>1370</v>
      </c>
      <c r="K291" s="1" t="s">
        <v>1371</v>
      </c>
      <c r="M291" s="1" t="s">
        <v>1372</v>
      </c>
      <c r="N291" s="1" t="s">
        <v>1373</v>
      </c>
      <c r="O291" s="1" t="str">
        <f>"10025"</f>
        <v>10025</v>
      </c>
    </row>
    <row r="292" spans="1:15" x14ac:dyDescent="0.2">
      <c r="A292" s="1" t="s">
        <v>1374</v>
      </c>
      <c r="B292" s="1" t="s">
        <v>1375</v>
      </c>
      <c r="C292" s="1">
        <v>6</v>
      </c>
      <c r="D292" s="2">
        <v>75</v>
      </c>
      <c r="E292" s="1" t="s">
        <v>17</v>
      </c>
      <c r="F292" s="1" t="s">
        <v>1376</v>
      </c>
      <c r="G292" s="1" t="s">
        <v>19</v>
      </c>
      <c r="H292" s="3">
        <v>0.83333333333333337</v>
      </c>
      <c r="I292" s="1" t="s">
        <v>1377</v>
      </c>
      <c r="K292" s="1" t="s">
        <v>1378</v>
      </c>
      <c r="M292" s="1" t="s">
        <v>298</v>
      </c>
      <c r="N292" s="1" t="s">
        <v>23</v>
      </c>
      <c r="O292" s="1" t="str">
        <f>"94526"</f>
        <v>94526</v>
      </c>
    </row>
    <row r="293" spans="1:15" x14ac:dyDescent="0.2">
      <c r="A293" s="1" t="s">
        <v>1374</v>
      </c>
      <c r="B293" s="1" t="s">
        <v>1375</v>
      </c>
      <c r="C293" s="1">
        <v>2</v>
      </c>
      <c r="D293" s="2">
        <v>110</v>
      </c>
      <c r="E293" s="1" t="s">
        <v>17</v>
      </c>
      <c r="F293" s="1" t="s">
        <v>1379</v>
      </c>
      <c r="G293" s="1" t="s">
        <v>19</v>
      </c>
      <c r="H293" s="3">
        <v>0.83333333333333337</v>
      </c>
      <c r="I293" s="1" t="s">
        <v>1377</v>
      </c>
      <c r="K293" s="1" t="s">
        <v>1378</v>
      </c>
      <c r="M293" s="1" t="s">
        <v>298</v>
      </c>
      <c r="N293" s="1" t="s">
        <v>23</v>
      </c>
      <c r="O293" s="1" t="str">
        <f>"94526"</f>
        <v>94526</v>
      </c>
    </row>
    <row r="294" spans="1:15" x14ac:dyDescent="0.2">
      <c r="A294" s="1" t="s">
        <v>1380</v>
      </c>
      <c r="B294" s="1" t="s">
        <v>1381</v>
      </c>
      <c r="C294" s="1">
        <v>3</v>
      </c>
      <c r="D294" s="2">
        <v>65</v>
      </c>
      <c r="E294" s="1" t="s">
        <v>17</v>
      </c>
      <c r="F294" s="1" t="s">
        <v>1382</v>
      </c>
      <c r="G294" s="1" t="s">
        <v>19</v>
      </c>
      <c r="H294" s="3">
        <v>0.83333333333333337</v>
      </c>
      <c r="I294" s="1" t="s">
        <v>1383</v>
      </c>
      <c r="J294" s="1">
        <v>9493884784</v>
      </c>
      <c r="K294" s="1" t="s">
        <v>310</v>
      </c>
      <c r="M294" s="1" t="s">
        <v>283</v>
      </c>
      <c r="N294" s="1" t="s">
        <v>23</v>
      </c>
      <c r="O294" s="1" t="str">
        <f>"92679"</f>
        <v>92679</v>
      </c>
    </row>
    <row r="295" spans="1:15" x14ac:dyDescent="0.2">
      <c r="A295" s="1" t="s">
        <v>1384</v>
      </c>
      <c r="B295" s="1" t="s">
        <v>1385</v>
      </c>
      <c r="C295" s="1">
        <v>2</v>
      </c>
      <c r="D295" s="2">
        <v>35</v>
      </c>
      <c r="E295" s="1" t="s">
        <v>17</v>
      </c>
      <c r="F295" s="1" t="s">
        <v>1386</v>
      </c>
      <c r="G295" s="1" t="s">
        <v>19</v>
      </c>
      <c r="H295" s="3">
        <v>0.83333333333333337</v>
      </c>
      <c r="I295" s="1" t="s">
        <v>1387</v>
      </c>
      <c r="J295" s="1">
        <v>6502228722</v>
      </c>
      <c r="K295" s="1" t="s">
        <v>1388</v>
      </c>
      <c r="M295" s="1" t="s">
        <v>1389</v>
      </c>
      <c r="N295" s="1" t="s">
        <v>23</v>
      </c>
      <c r="O295" s="1" t="str">
        <f>"94403"</f>
        <v>94403</v>
      </c>
    </row>
    <row r="296" spans="1:15" x14ac:dyDescent="0.2">
      <c r="A296" s="1" t="s">
        <v>1384</v>
      </c>
      <c r="B296" s="1" t="s">
        <v>1385</v>
      </c>
      <c r="C296" s="1">
        <v>2</v>
      </c>
      <c r="D296" s="2">
        <v>35</v>
      </c>
      <c r="E296" s="1" t="s">
        <v>17</v>
      </c>
      <c r="F296" s="1" t="s">
        <v>1390</v>
      </c>
      <c r="G296" s="1" t="s">
        <v>19</v>
      </c>
      <c r="H296" s="3">
        <v>0.83333333333333337</v>
      </c>
      <c r="I296" s="1" t="s">
        <v>1387</v>
      </c>
      <c r="J296" s="1">
        <v>6502228722</v>
      </c>
      <c r="K296" s="1" t="s">
        <v>1388</v>
      </c>
      <c r="M296" s="1" t="s">
        <v>1389</v>
      </c>
      <c r="N296" s="1" t="s">
        <v>23</v>
      </c>
      <c r="O296" s="1" t="str">
        <f>"94403"</f>
        <v>94403</v>
      </c>
    </row>
    <row r="297" spans="1:15" x14ac:dyDescent="0.2">
      <c r="A297" s="1" t="s">
        <v>1391</v>
      </c>
      <c r="B297" s="1" t="s">
        <v>1392</v>
      </c>
      <c r="C297" s="1">
        <v>2</v>
      </c>
      <c r="D297" s="2">
        <v>50</v>
      </c>
      <c r="E297" s="1" t="s">
        <v>17</v>
      </c>
      <c r="F297" s="1" t="s">
        <v>1393</v>
      </c>
      <c r="G297" s="1" t="s">
        <v>19</v>
      </c>
      <c r="H297" s="3">
        <v>0.83333333333333337</v>
      </c>
      <c r="I297" s="1" t="s">
        <v>1394</v>
      </c>
      <c r="J297" s="1">
        <v>6509182108</v>
      </c>
      <c r="K297" s="1" t="s">
        <v>1395</v>
      </c>
      <c r="M297" s="1" t="s">
        <v>1396</v>
      </c>
      <c r="N297" s="1" t="s">
        <v>23</v>
      </c>
      <c r="O297" s="1" t="str">
        <f>"94070"</f>
        <v>94070</v>
      </c>
    </row>
    <row r="298" spans="1:15" x14ac:dyDescent="0.2">
      <c r="A298" s="1" t="s">
        <v>1397</v>
      </c>
      <c r="B298" s="1" t="s">
        <v>1398</v>
      </c>
      <c r="C298" s="1">
        <v>2</v>
      </c>
      <c r="D298" s="2">
        <v>75</v>
      </c>
      <c r="E298" s="1" t="s">
        <v>17</v>
      </c>
      <c r="F298" s="1" t="s">
        <v>1399</v>
      </c>
      <c r="G298" s="1" t="s">
        <v>19</v>
      </c>
      <c r="H298" s="3">
        <v>0.83333333333333337</v>
      </c>
      <c r="I298" s="1" t="s">
        <v>1400</v>
      </c>
      <c r="K298" s="1" t="s">
        <v>1401</v>
      </c>
      <c r="M298" s="1" t="s">
        <v>1402</v>
      </c>
      <c r="N298" s="1" t="s">
        <v>23</v>
      </c>
      <c r="O298" s="1" t="str">
        <f>"94541"</f>
        <v>94541</v>
      </c>
    </row>
    <row r="299" spans="1:15" x14ac:dyDescent="0.2">
      <c r="A299" s="1" t="s">
        <v>1403</v>
      </c>
      <c r="B299" s="1" t="s">
        <v>1404</v>
      </c>
      <c r="C299" s="1">
        <v>2</v>
      </c>
      <c r="D299" s="2">
        <v>65</v>
      </c>
      <c r="E299" s="1" t="s">
        <v>17</v>
      </c>
      <c r="F299" s="1" t="s">
        <v>1405</v>
      </c>
      <c r="G299" s="1" t="s">
        <v>19</v>
      </c>
      <c r="H299" s="3">
        <v>0.83333333333333337</v>
      </c>
      <c r="I299" s="1" t="s">
        <v>1406</v>
      </c>
      <c r="J299" s="1">
        <v>2062587273</v>
      </c>
      <c r="K299" s="1" t="s">
        <v>1407</v>
      </c>
      <c r="M299" s="1" t="s">
        <v>1408</v>
      </c>
      <c r="N299" s="1" t="s">
        <v>886</v>
      </c>
      <c r="O299" s="1" t="str">
        <f>"98057"</f>
        <v>98057</v>
      </c>
    </row>
    <row r="300" spans="1:15" x14ac:dyDescent="0.2">
      <c r="A300" s="1" t="s">
        <v>1409</v>
      </c>
      <c r="B300" s="1" t="s">
        <v>1410</v>
      </c>
      <c r="C300" s="1">
        <v>2</v>
      </c>
      <c r="D300" s="2">
        <v>50</v>
      </c>
      <c r="E300" s="1" t="s">
        <v>17</v>
      </c>
      <c r="F300" s="1" t="s">
        <v>1411</v>
      </c>
      <c r="G300" s="1" t="s">
        <v>19</v>
      </c>
      <c r="H300" s="3">
        <v>0.83333333333333337</v>
      </c>
      <c r="I300" s="1" t="s">
        <v>1412</v>
      </c>
      <c r="J300" s="1">
        <v>9794223226</v>
      </c>
      <c r="K300" s="1" t="s">
        <v>1413</v>
      </c>
      <c r="L300" s="1" t="s">
        <v>1414</v>
      </c>
      <c r="M300" s="1" t="s">
        <v>632</v>
      </c>
      <c r="N300" s="1" t="s">
        <v>23</v>
      </c>
      <c r="O300" s="1" t="str">
        <f>"94080"</f>
        <v>94080</v>
      </c>
    </row>
    <row r="301" spans="1:15" x14ac:dyDescent="0.2">
      <c r="A301" s="1" t="s">
        <v>1409</v>
      </c>
      <c r="B301" s="1" t="s">
        <v>1410</v>
      </c>
      <c r="C301" s="1">
        <v>1</v>
      </c>
      <c r="D301" s="2">
        <v>50</v>
      </c>
      <c r="E301" s="1" t="s">
        <v>17</v>
      </c>
      <c r="F301" s="1" t="s">
        <v>1415</v>
      </c>
      <c r="G301" s="1" t="s">
        <v>19</v>
      </c>
      <c r="H301" s="3">
        <v>0.83333333333333337</v>
      </c>
      <c r="I301" s="1" t="s">
        <v>1412</v>
      </c>
      <c r="J301" s="1">
        <v>9794223226</v>
      </c>
      <c r="K301" s="1" t="s">
        <v>1413</v>
      </c>
      <c r="L301" s="1" t="s">
        <v>1414</v>
      </c>
      <c r="M301" s="1" t="s">
        <v>632</v>
      </c>
      <c r="N301" s="1" t="s">
        <v>23</v>
      </c>
      <c r="O301" s="1" t="str">
        <f>"94080"</f>
        <v>94080</v>
      </c>
    </row>
    <row r="302" spans="1:15" x14ac:dyDescent="0.2">
      <c r="A302" s="1" t="s">
        <v>1416</v>
      </c>
      <c r="B302" s="1" t="s">
        <v>1417</v>
      </c>
      <c r="C302" s="1">
        <v>3</v>
      </c>
      <c r="D302" s="2">
        <v>35</v>
      </c>
      <c r="E302" s="1" t="s">
        <v>17</v>
      </c>
      <c r="F302" s="1" t="s">
        <v>1418</v>
      </c>
      <c r="G302" s="1" t="s">
        <v>19</v>
      </c>
      <c r="H302" s="3">
        <v>0.83333333333333337</v>
      </c>
      <c r="I302" s="1" t="s">
        <v>1419</v>
      </c>
      <c r="K302" s="1" t="s">
        <v>1420</v>
      </c>
      <c r="M302" s="1" t="s">
        <v>500</v>
      </c>
      <c r="N302" s="1" t="s">
        <v>23</v>
      </c>
      <c r="O302" s="1" t="str">
        <f>"94517"</f>
        <v>94517</v>
      </c>
    </row>
    <row r="303" spans="1:15" x14ac:dyDescent="0.2">
      <c r="A303" s="1" t="s">
        <v>1421</v>
      </c>
      <c r="B303" s="1" t="s">
        <v>1422</v>
      </c>
      <c r="C303" s="1">
        <v>2</v>
      </c>
      <c r="D303" s="2">
        <v>35</v>
      </c>
      <c r="E303" s="1" t="s">
        <v>17</v>
      </c>
      <c r="F303" s="1" t="s">
        <v>1423</v>
      </c>
      <c r="G303" s="1" t="s">
        <v>19</v>
      </c>
      <c r="H303" s="3">
        <v>0.83333333333333337</v>
      </c>
      <c r="I303" s="1" t="s">
        <v>1424</v>
      </c>
      <c r="K303" s="1" t="s">
        <v>1425</v>
      </c>
      <c r="L303" s="1" t="s">
        <v>531</v>
      </c>
      <c r="M303" s="1" t="s">
        <v>948</v>
      </c>
      <c r="N303" s="1" t="s">
        <v>23</v>
      </c>
      <c r="O303" s="1" t="str">
        <f>"94608"</f>
        <v>94608</v>
      </c>
    </row>
    <row r="304" spans="1:15" x14ac:dyDescent="0.2">
      <c r="A304" s="1" t="s">
        <v>1426</v>
      </c>
      <c r="B304" s="1" t="s">
        <v>1368</v>
      </c>
      <c r="C304" s="1">
        <v>2</v>
      </c>
      <c r="D304" s="2">
        <v>50</v>
      </c>
      <c r="E304" s="1" t="s">
        <v>17</v>
      </c>
      <c r="F304" s="1" t="s">
        <v>1427</v>
      </c>
      <c r="G304" s="1" t="s">
        <v>19</v>
      </c>
      <c r="H304" s="3">
        <v>0.83333333333333337</v>
      </c>
      <c r="I304" s="1" t="s">
        <v>1428</v>
      </c>
      <c r="K304" s="1" t="s">
        <v>1429</v>
      </c>
      <c r="M304" s="1" t="s">
        <v>305</v>
      </c>
      <c r="N304" s="1" t="s">
        <v>23</v>
      </c>
      <c r="O304" s="1" t="str">
        <f>"94117"</f>
        <v>94117</v>
      </c>
    </row>
    <row r="305" spans="1:15" x14ac:dyDescent="0.2">
      <c r="A305" s="1" t="s">
        <v>1430</v>
      </c>
      <c r="B305" s="1" t="s">
        <v>1431</v>
      </c>
      <c r="C305" s="1">
        <v>3</v>
      </c>
      <c r="D305" s="2">
        <v>50</v>
      </c>
      <c r="E305" s="1" t="s">
        <v>17</v>
      </c>
      <c r="F305" s="1" t="s">
        <v>1432</v>
      </c>
      <c r="G305" s="1" t="s">
        <v>19</v>
      </c>
      <c r="H305" s="3">
        <v>0.83333333333333337</v>
      </c>
      <c r="I305" s="1" t="s">
        <v>1433</v>
      </c>
      <c r="K305" s="1" t="s">
        <v>1434</v>
      </c>
      <c r="M305" s="1" t="s">
        <v>298</v>
      </c>
      <c r="N305" s="1" t="s">
        <v>23</v>
      </c>
      <c r="O305" s="1" t="str">
        <f>"94506"</f>
        <v>94506</v>
      </c>
    </row>
    <row r="306" spans="1:15" x14ac:dyDescent="0.2">
      <c r="A306" s="1" t="s">
        <v>1435</v>
      </c>
      <c r="B306" s="1" t="s">
        <v>1436</v>
      </c>
      <c r="C306" s="1">
        <v>3</v>
      </c>
      <c r="D306" s="2">
        <v>110</v>
      </c>
      <c r="E306" s="1" t="s">
        <v>17</v>
      </c>
      <c r="F306" s="1" t="s">
        <v>1437</v>
      </c>
      <c r="G306" s="1" t="s">
        <v>19</v>
      </c>
      <c r="H306" s="3">
        <v>0.83333333333333337</v>
      </c>
      <c r="I306" s="1" t="s">
        <v>1438</v>
      </c>
      <c r="J306" s="1">
        <v>7755010433</v>
      </c>
      <c r="K306" s="1" t="s">
        <v>1439</v>
      </c>
      <c r="M306" s="1" t="s">
        <v>1440</v>
      </c>
      <c r="N306" s="1" t="s">
        <v>1441</v>
      </c>
      <c r="O306" s="1" t="str">
        <f>"89521"</f>
        <v>89521</v>
      </c>
    </row>
    <row r="307" spans="1:15" x14ac:dyDescent="0.2">
      <c r="A307" s="1" t="s">
        <v>1442</v>
      </c>
      <c r="B307" s="1" t="s">
        <v>718</v>
      </c>
      <c r="C307" s="1">
        <v>2</v>
      </c>
      <c r="D307" s="2">
        <v>50</v>
      </c>
      <c r="E307" s="1" t="s">
        <v>17</v>
      </c>
      <c r="F307" s="1" t="s">
        <v>1443</v>
      </c>
      <c r="G307" s="1" t="s">
        <v>19</v>
      </c>
      <c r="H307" s="3">
        <v>0.83333333333333337</v>
      </c>
      <c r="I307" s="1" t="s">
        <v>1444</v>
      </c>
      <c r="J307" s="1">
        <v>4155311266</v>
      </c>
      <c r="K307" s="1">
        <v>2190</v>
      </c>
      <c r="L307" s="1" t="s">
        <v>1445</v>
      </c>
      <c r="M307" s="1" t="s">
        <v>51</v>
      </c>
      <c r="N307" s="1" t="s">
        <v>23</v>
      </c>
      <c r="O307" s="1" t="str">
        <f>"94115"</f>
        <v>94115</v>
      </c>
    </row>
    <row r="308" spans="1:15" x14ac:dyDescent="0.2">
      <c r="A308" s="1" t="s">
        <v>1446</v>
      </c>
      <c r="B308" s="1" t="s">
        <v>1447</v>
      </c>
      <c r="C308" s="1">
        <v>1</v>
      </c>
      <c r="D308" s="2">
        <v>35</v>
      </c>
      <c r="E308" s="1" t="s">
        <v>17</v>
      </c>
      <c r="F308" s="1" t="s">
        <v>1448</v>
      </c>
      <c r="G308" s="1" t="s">
        <v>19</v>
      </c>
      <c r="H308" s="3">
        <v>0.83333333333333337</v>
      </c>
      <c r="I308" s="1" t="s">
        <v>1449</v>
      </c>
      <c r="J308" s="1">
        <v>4804691933</v>
      </c>
      <c r="K308" s="1" t="s">
        <v>1450</v>
      </c>
      <c r="L308" s="1" t="s">
        <v>1451</v>
      </c>
      <c r="M308" s="1" t="s">
        <v>51</v>
      </c>
      <c r="N308" s="1" t="s">
        <v>23</v>
      </c>
      <c r="O308" s="1" t="str">
        <f>"94105"</f>
        <v>94105</v>
      </c>
    </row>
    <row r="309" spans="1:15" x14ac:dyDescent="0.2">
      <c r="A309" s="1" t="s">
        <v>1452</v>
      </c>
      <c r="B309" s="1" t="s">
        <v>1453</v>
      </c>
      <c r="C309" s="1">
        <v>2</v>
      </c>
      <c r="D309" s="2">
        <v>50</v>
      </c>
      <c r="E309" s="1" t="s">
        <v>17</v>
      </c>
      <c r="F309" s="1" t="s">
        <v>1454</v>
      </c>
      <c r="G309" s="1" t="s">
        <v>19</v>
      </c>
      <c r="H309" s="3">
        <v>0.83333333333333337</v>
      </c>
      <c r="I309" s="1" t="s">
        <v>1455</v>
      </c>
      <c r="K309" s="1" t="s">
        <v>1456</v>
      </c>
      <c r="M309" s="1" t="s">
        <v>51</v>
      </c>
      <c r="N309" s="1" t="s">
        <v>23</v>
      </c>
      <c r="O309" s="1" t="str">
        <f>"94107"</f>
        <v>94107</v>
      </c>
    </row>
    <row r="310" spans="1:15" x14ac:dyDescent="0.2">
      <c r="A310" s="1" t="s">
        <v>1457</v>
      </c>
      <c r="B310" s="1" t="s">
        <v>1458</v>
      </c>
      <c r="C310" s="1">
        <v>1</v>
      </c>
      <c r="D310" s="2">
        <v>110</v>
      </c>
      <c r="E310" s="1" t="s">
        <v>17</v>
      </c>
      <c r="F310" s="1" t="s">
        <v>1459</v>
      </c>
      <c r="G310" s="1" t="s">
        <v>19</v>
      </c>
      <c r="H310" s="3">
        <v>0.83333333333333337</v>
      </c>
      <c r="I310" s="1" t="s">
        <v>1460</v>
      </c>
      <c r="K310" s="1" t="s">
        <v>1461</v>
      </c>
      <c r="M310" s="1" t="s">
        <v>829</v>
      </c>
      <c r="N310" s="1" t="s">
        <v>23</v>
      </c>
      <c r="O310" s="1" t="str">
        <f t="shared" ref="O310:O318" si="2">"94709"</f>
        <v>94709</v>
      </c>
    </row>
    <row r="311" spans="1:15" x14ac:dyDescent="0.2">
      <c r="A311" s="1" t="s">
        <v>1457</v>
      </c>
      <c r="B311" s="1" t="s">
        <v>1458</v>
      </c>
      <c r="C311" s="1">
        <v>1</v>
      </c>
      <c r="D311" s="2">
        <v>110</v>
      </c>
      <c r="E311" s="1" t="s">
        <v>17</v>
      </c>
      <c r="F311" s="1" t="s">
        <v>1462</v>
      </c>
      <c r="G311" s="1" t="s">
        <v>19</v>
      </c>
      <c r="H311" s="3">
        <v>0.83333333333333337</v>
      </c>
      <c r="I311" s="1" t="s">
        <v>1460</v>
      </c>
      <c r="K311" s="1" t="s">
        <v>1461</v>
      </c>
      <c r="M311" s="1" t="s">
        <v>829</v>
      </c>
      <c r="N311" s="1" t="s">
        <v>23</v>
      </c>
      <c r="O311" s="1" t="str">
        <f t="shared" si="2"/>
        <v>94709</v>
      </c>
    </row>
    <row r="312" spans="1:15" x14ac:dyDescent="0.2">
      <c r="A312" s="1" t="s">
        <v>1457</v>
      </c>
      <c r="B312" s="1" t="s">
        <v>1458</v>
      </c>
      <c r="C312" s="1">
        <v>1</v>
      </c>
      <c r="D312" s="2">
        <v>110</v>
      </c>
      <c r="E312" s="1" t="s">
        <v>17</v>
      </c>
      <c r="F312" s="1" t="s">
        <v>1463</v>
      </c>
      <c r="G312" s="1" t="s">
        <v>19</v>
      </c>
      <c r="H312" s="3">
        <v>0.83333333333333337</v>
      </c>
      <c r="I312" s="1" t="s">
        <v>1460</v>
      </c>
      <c r="K312" s="1" t="s">
        <v>1461</v>
      </c>
      <c r="M312" s="1" t="s">
        <v>829</v>
      </c>
      <c r="N312" s="1" t="s">
        <v>23</v>
      </c>
      <c r="O312" s="1" t="str">
        <f t="shared" si="2"/>
        <v>94709</v>
      </c>
    </row>
    <row r="313" spans="1:15" x14ac:dyDescent="0.2">
      <c r="A313" s="1" t="s">
        <v>1457</v>
      </c>
      <c r="B313" s="1" t="s">
        <v>1458</v>
      </c>
      <c r="C313" s="1">
        <v>1</v>
      </c>
      <c r="D313" s="2">
        <v>110</v>
      </c>
      <c r="E313" s="1" t="s">
        <v>17</v>
      </c>
      <c r="F313" s="1" t="s">
        <v>1464</v>
      </c>
      <c r="G313" s="1" t="s">
        <v>19</v>
      </c>
      <c r="H313" s="3">
        <v>0.83333333333333337</v>
      </c>
      <c r="I313" s="1" t="s">
        <v>1460</v>
      </c>
      <c r="K313" s="1" t="s">
        <v>1461</v>
      </c>
      <c r="M313" s="1" t="s">
        <v>829</v>
      </c>
      <c r="N313" s="1" t="s">
        <v>23</v>
      </c>
      <c r="O313" s="1" t="str">
        <f t="shared" si="2"/>
        <v>94709</v>
      </c>
    </row>
    <row r="314" spans="1:15" x14ac:dyDescent="0.2">
      <c r="A314" s="1" t="s">
        <v>1457</v>
      </c>
      <c r="B314" s="1" t="s">
        <v>1458</v>
      </c>
      <c r="C314" s="1">
        <v>1</v>
      </c>
      <c r="D314" s="2">
        <v>110</v>
      </c>
      <c r="E314" s="1" t="s">
        <v>17</v>
      </c>
      <c r="F314" s="1" t="s">
        <v>1465</v>
      </c>
      <c r="G314" s="1" t="s">
        <v>19</v>
      </c>
      <c r="H314" s="3">
        <v>0.83333333333333337</v>
      </c>
      <c r="I314" s="1" t="s">
        <v>1460</v>
      </c>
      <c r="K314" s="1" t="s">
        <v>1461</v>
      </c>
      <c r="M314" s="1" t="s">
        <v>829</v>
      </c>
      <c r="N314" s="1" t="s">
        <v>23</v>
      </c>
      <c r="O314" s="1" t="str">
        <f t="shared" si="2"/>
        <v>94709</v>
      </c>
    </row>
    <row r="315" spans="1:15" x14ac:dyDescent="0.2">
      <c r="A315" s="1" t="s">
        <v>1457</v>
      </c>
      <c r="B315" s="1" t="s">
        <v>1458</v>
      </c>
      <c r="C315" s="1">
        <v>1</v>
      </c>
      <c r="D315" s="2">
        <v>110</v>
      </c>
      <c r="E315" s="1" t="s">
        <v>17</v>
      </c>
      <c r="F315" s="1" t="s">
        <v>1466</v>
      </c>
      <c r="G315" s="1" t="s">
        <v>19</v>
      </c>
      <c r="H315" s="3">
        <v>0.83333333333333337</v>
      </c>
      <c r="I315" s="1" t="s">
        <v>1460</v>
      </c>
      <c r="K315" s="1" t="s">
        <v>1461</v>
      </c>
      <c r="M315" s="1" t="s">
        <v>829</v>
      </c>
      <c r="N315" s="1" t="s">
        <v>23</v>
      </c>
      <c r="O315" s="1" t="str">
        <f t="shared" si="2"/>
        <v>94709</v>
      </c>
    </row>
    <row r="316" spans="1:15" x14ac:dyDescent="0.2">
      <c r="A316" s="1" t="s">
        <v>1457</v>
      </c>
      <c r="B316" s="1" t="s">
        <v>1458</v>
      </c>
      <c r="C316" s="1">
        <v>1</v>
      </c>
      <c r="D316" s="2">
        <v>110</v>
      </c>
      <c r="E316" s="1" t="s">
        <v>17</v>
      </c>
      <c r="F316" s="1" t="s">
        <v>1467</v>
      </c>
      <c r="G316" s="1" t="s">
        <v>19</v>
      </c>
      <c r="H316" s="3">
        <v>0.83333333333333337</v>
      </c>
      <c r="I316" s="1" t="s">
        <v>1460</v>
      </c>
      <c r="K316" s="1" t="s">
        <v>1461</v>
      </c>
      <c r="M316" s="1" t="s">
        <v>829</v>
      </c>
      <c r="N316" s="1" t="s">
        <v>23</v>
      </c>
      <c r="O316" s="1" t="str">
        <f t="shared" si="2"/>
        <v>94709</v>
      </c>
    </row>
    <row r="317" spans="1:15" x14ac:dyDescent="0.2">
      <c r="A317" s="1" t="s">
        <v>1457</v>
      </c>
      <c r="B317" s="1" t="s">
        <v>1458</v>
      </c>
      <c r="C317" s="1">
        <v>1</v>
      </c>
      <c r="D317" s="2">
        <v>110</v>
      </c>
      <c r="E317" s="1" t="s">
        <v>17</v>
      </c>
      <c r="F317" s="1" t="s">
        <v>1468</v>
      </c>
      <c r="G317" s="1" t="s">
        <v>19</v>
      </c>
      <c r="H317" s="3">
        <v>0.83333333333333337</v>
      </c>
      <c r="I317" s="1" t="s">
        <v>1460</v>
      </c>
      <c r="K317" s="1" t="s">
        <v>1461</v>
      </c>
      <c r="M317" s="1" t="s">
        <v>829</v>
      </c>
      <c r="N317" s="1" t="s">
        <v>23</v>
      </c>
      <c r="O317" s="1" t="str">
        <f t="shared" si="2"/>
        <v>94709</v>
      </c>
    </row>
    <row r="318" spans="1:15" x14ac:dyDescent="0.2">
      <c r="A318" s="1" t="s">
        <v>1457</v>
      </c>
      <c r="B318" s="1" t="s">
        <v>1458</v>
      </c>
      <c r="C318" s="1">
        <v>2</v>
      </c>
      <c r="D318" s="2">
        <v>75</v>
      </c>
      <c r="E318" s="1" t="s">
        <v>17</v>
      </c>
      <c r="F318" s="1" t="s">
        <v>1469</v>
      </c>
      <c r="G318" s="1" t="s">
        <v>19</v>
      </c>
      <c r="H318" s="3">
        <v>0.83333333333333337</v>
      </c>
      <c r="I318" s="1" t="s">
        <v>1460</v>
      </c>
      <c r="K318" s="1" t="s">
        <v>1470</v>
      </c>
      <c r="M318" s="1" t="s">
        <v>1189</v>
      </c>
      <c r="N318" s="1" t="s">
        <v>23</v>
      </c>
      <c r="O318" s="1" t="str">
        <f t="shared" si="2"/>
        <v>94709</v>
      </c>
    </row>
    <row r="319" spans="1:15" x14ac:dyDescent="0.2">
      <c r="A319" s="1" t="s">
        <v>1471</v>
      </c>
      <c r="B319" s="1" t="s">
        <v>1001</v>
      </c>
      <c r="C319" s="1">
        <v>1</v>
      </c>
      <c r="D319" s="2">
        <v>65</v>
      </c>
      <c r="E319" s="1" t="s">
        <v>17</v>
      </c>
      <c r="F319" s="1" t="s">
        <v>1472</v>
      </c>
      <c r="G319" s="1" t="s">
        <v>19</v>
      </c>
      <c r="H319" s="3">
        <v>0.83333333333333337</v>
      </c>
      <c r="I319" s="1" t="s">
        <v>1473</v>
      </c>
      <c r="K319" s="1" t="s">
        <v>1474</v>
      </c>
      <c r="L319" s="1" t="s">
        <v>1475</v>
      </c>
      <c r="M319" s="1" t="s">
        <v>51</v>
      </c>
      <c r="N319" s="1" t="s">
        <v>23</v>
      </c>
      <c r="O319" s="1" t="str">
        <f>"94105"</f>
        <v>94105</v>
      </c>
    </row>
    <row r="320" spans="1:15" x14ac:dyDescent="0.2">
      <c r="A320" s="1" t="s">
        <v>1476</v>
      </c>
      <c r="B320" s="1" t="s">
        <v>1477</v>
      </c>
      <c r="C320" s="1">
        <v>2</v>
      </c>
      <c r="D320" s="2">
        <v>50</v>
      </c>
      <c r="E320" s="1" t="s">
        <v>17</v>
      </c>
      <c r="F320" s="1" t="s">
        <v>1478</v>
      </c>
      <c r="G320" s="1" t="s">
        <v>19</v>
      </c>
      <c r="H320" s="3">
        <v>0.83333333333333337</v>
      </c>
      <c r="I320" s="1" t="s">
        <v>1479</v>
      </c>
      <c r="K320" s="1" t="s">
        <v>1480</v>
      </c>
      <c r="L320" s="1" t="s">
        <v>1481</v>
      </c>
      <c r="M320" s="1" t="s">
        <v>51</v>
      </c>
      <c r="N320" s="1" t="s">
        <v>23</v>
      </c>
      <c r="O320" s="1" t="str">
        <f>"94110"</f>
        <v>94110</v>
      </c>
    </row>
    <row r="321" spans="1:15" x14ac:dyDescent="0.2">
      <c r="A321" s="1" t="s">
        <v>1482</v>
      </c>
      <c r="B321" s="1" t="s">
        <v>746</v>
      </c>
      <c r="C321" s="1">
        <v>3</v>
      </c>
      <c r="D321" s="2">
        <v>75</v>
      </c>
      <c r="E321" s="1" t="s">
        <v>17</v>
      </c>
      <c r="F321" s="1" t="s">
        <v>1483</v>
      </c>
      <c r="G321" s="1" t="s">
        <v>19</v>
      </c>
      <c r="H321" s="3">
        <v>0.83333333333333337</v>
      </c>
      <c r="I321" s="1" t="s">
        <v>1484</v>
      </c>
      <c r="K321" s="1" t="s">
        <v>1485</v>
      </c>
      <c r="M321" s="1" t="s">
        <v>1189</v>
      </c>
      <c r="N321" s="1" t="s">
        <v>23</v>
      </c>
      <c r="O321" s="1" t="str">
        <f>"94707"</f>
        <v>94707</v>
      </c>
    </row>
    <row r="322" spans="1:15" x14ac:dyDescent="0.2">
      <c r="A322" s="1" t="s">
        <v>1486</v>
      </c>
      <c r="B322" s="1" t="s">
        <v>1487</v>
      </c>
      <c r="C322" s="1">
        <v>2</v>
      </c>
      <c r="D322" s="2">
        <v>50</v>
      </c>
      <c r="E322" s="1" t="s">
        <v>17</v>
      </c>
      <c r="F322" s="1" t="s">
        <v>1488</v>
      </c>
      <c r="G322" s="1" t="s">
        <v>19</v>
      </c>
      <c r="H322" s="3">
        <v>0.83333333333333337</v>
      </c>
      <c r="I322" s="1" t="s">
        <v>1489</v>
      </c>
      <c r="K322" s="1" t="s">
        <v>1490</v>
      </c>
      <c r="M322" s="1" t="s">
        <v>591</v>
      </c>
      <c r="N322" s="1" t="s">
        <v>23</v>
      </c>
      <c r="O322" s="1" t="str">
        <f>"94601"</f>
        <v>94601</v>
      </c>
    </row>
    <row r="323" spans="1:15" x14ac:dyDescent="0.2">
      <c r="A323" s="1" t="s">
        <v>1491</v>
      </c>
      <c r="B323" s="1" t="s">
        <v>1492</v>
      </c>
      <c r="C323" s="1">
        <v>2</v>
      </c>
      <c r="D323" s="2">
        <v>50</v>
      </c>
      <c r="E323" s="1" t="s">
        <v>17</v>
      </c>
      <c r="F323" s="1" t="s">
        <v>1493</v>
      </c>
      <c r="G323" s="1" t="s">
        <v>19</v>
      </c>
      <c r="H323" s="3">
        <v>0.83333333333333337</v>
      </c>
      <c r="I323" s="1" t="s">
        <v>1494</v>
      </c>
      <c r="K323" s="1" t="s">
        <v>1495</v>
      </c>
      <c r="M323" s="1" t="s">
        <v>51</v>
      </c>
      <c r="N323" s="1" t="s">
        <v>23</v>
      </c>
      <c r="O323" s="1" t="str">
        <f>"94118-1476"</f>
        <v>94118-1476</v>
      </c>
    </row>
    <row r="324" spans="1:15" x14ac:dyDescent="0.2">
      <c r="A324" s="1" t="s">
        <v>1496</v>
      </c>
      <c r="B324" s="1" t="s">
        <v>1497</v>
      </c>
      <c r="C324" s="1">
        <v>2</v>
      </c>
      <c r="D324" s="2">
        <v>110</v>
      </c>
      <c r="E324" s="1" t="s">
        <v>17</v>
      </c>
      <c r="F324" s="1" t="s">
        <v>1498</v>
      </c>
      <c r="G324" s="1" t="s">
        <v>19</v>
      </c>
      <c r="H324" s="3">
        <v>0.83333333333333337</v>
      </c>
      <c r="I324" s="1" t="s">
        <v>1499</v>
      </c>
      <c r="K324" s="1" t="s">
        <v>1500</v>
      </c>
      <c r="M324" s="1" t="s">
        <v>45</v>
      </c>
      <c r="N324" s="1" t="s">
        <v>23</v>
      </c>
      <c r="O324" s="1" t="str">
        <f>"94070"</f>
        <v>94070</v>
      </c>
    </row>
    <row r="325" spans="1:15" x14ac:dyDescent="0.2">
      <c r="A325" s="1" t="s">
        <v>1501</v>
      </c>
      <c r="B325" s="1" t="s">
        <v>1502</v>
      </c>
      <c r="C325" s="1">
        <v>2</v>
      </c>
      <c r="D325" s="2">
        <v>65</v>
      </c>
      <c r="E325" s="1" t="s">
        <v>17</v>
      </c>
      <c r="F325" s="1" t="s">
        <v>1503</v>
      </c>
      <c r="G325" s="1" t="s">
        <v>19</v>
      </c>
      <c r="H325" s="3">
        <v>0.83333333333333337</v>
      </c>
      <c r="I325" s="1" t="s">
        <v>1504</v>
      </c>
      <c r="J325" s="1">
        <v>3462633168</v>
      </c>
      <c r="K325" s="1" t="s">
        <v>1505</v>
      </c>
      <c r="M325" s="1" t="s">
        <v>1506</v>
      </c>
      <c r="N325" s="1" t="s">
        <v>875</v>
      </c>
      <c r="O325" s="1" t="str">
        <f>"77523"</f>
        <v>77523</v>
      </c>
    </row>
    <row r="326" spans="1:15" x14ac:dyDescent="0.2">
      <c r="A326" s="1" t="s">
        <v>1507</v>
      </c>
      <c r="B326" s="1" t="s">
        <v>1508</v>
      </c>
      <c r="C326" s="1">
        <v>1</v>
      </c>
      <c r="D326" s="2">
        <v>65</v>
      </c>
      <c r="E326" s="1" t="s">
        <v>17</v>
      </c>
      <c r="F326" s="1" t="s">
        <v>1509</v>
      </c>
      <c r="G326" s="1" t="s">
        <v>19</v>
      </c>
      <c r="H326" s="3">
        <v>0.83333333333333337</v>
      </c>
      <c r="I326" s="1" t="s">
        <v>1510</v>
      </c>
      <c r="J326" s="1">
        <v>4159999255</v>
      </c>
      <c r="K326" s="1" t="s">
        <v>1511</v>
      </c>
      <c r="L326" s="1" t="s">
        <v>1512</v>
      </c>
      <c r="M326" s="1" t="s">
        <v>51</v>
      </c>
      <c r="N326" s="1" t="s">
        <v>23</v>
      </c>
      <c r="O326" s="1" t="str">
        <f>"94109"</f>
        <v>94109</v>
      </c>
    </row>
    <row r="327" spans="1:15" x14ac:dyDescent="0.2">
      <c r="A327" s="1" t="s">
        <v>1507</v>
      </c>
      <c r="B327" s="1" t="s">
        <v>1508</v>
      </c>
      <c r="C327" s="1">
        <v>2</v>
      </c>
      <c r="D327" s="2">
        <v>75</v>
      </c>
      <c r="E327" s="1" t="s">
        <v>17</v>
      </c>
      <c r="F327" s="1" t="s">
        <v>1513</v>
      </c>
      <c r="G327" s="1" t="s">
        <v>19</v>
      </c>
      <c r="H327" s="3">
        <v>0.83333333333333337</v>
      </c>
      <c r="I327" s="1" t="s">
        <v>1510</v>
      </c>
      <c r="J327" s="1">
        <v>4159999255</v>
      </c>
      <c r="K327" s="1" t="s">
        <v>1511</v>
      </c>
      <c r="L327" s="1" t="s">
        <v>1512</v>
      </c>
      <c r="M327" s="1" t="s">
        <v>51</v>
      </c>
      <c r="N327" s="1" t="s">
        <v>23</v>
      </c>
      <c r="O327" s="1" t="str">
        <f>"94109"</f>
        <v>94109</v>
      </c>
    </row>
    <row r="328" spans="1:15" x14ac:dyDescent="0.2">
      <c r="A328" s="1" t="s">
        <v>1514</v>
      </c>
      <c r="B328" s="1" t="s">
        <v>1515</v>
      </c>
      <c r="C328" s="1">
        <v>2</v>
      </c>
      <c r="D328" s="2">
        <v>50</v>
      </c>
      <c r="E328" s="1" t="s">
        <v>17</v>
      </c>
      <c r="F328" s="1" t="s">
        <v>1516</v>
      </c>
      <c r="G328" s="1" t="s">
        <v>19</v>
      </c>
      <c r="H328" s="3">
        <v>0.83333333333333337</v>
      </c>
      <c r="I328" s="1" t="s">
        <v>1517</v>
      </c>
      <c r="K328" s="1" t="s">
        <v>1518</v>
      </c>
      <c r="M328" s="1" t="s">
        <v>100</v>
      </c>
      <c r="N328" s="1" t="s">
        <v>23</v>
      </c>
      <c r="O328" s="1" t="str">
        <f>"95118"</f>
        <v>95118</v>
      </c>
    </row>
    <row r="329" spans="1:15" x14ac:dyDescent="0.2">
      <c r="A329" s="1" t="s">
        <v>1519</v>
      </c>
      <c r="B329" s="1" t="s">
        <v>1520</v>
      </c>
      <c r="C329" s="1">
        <v>2</v>
      </c>
      <c r="D329" s="2">
        <v>35</v>
      </c>
      <c r="E329" s="1" t="s">
        <v>17</v>
      </c>
      <c r="F329" s="1" t="s">
        <v>1521</v>
      </c>
      <c r="G329" s="1" t="s">
        <v>19</v>
      </c>
      <c r="H329" s="3">
        <v>0.83333333333333337</v>
      </c>
      <c r="I329" s="1" t="s">
        <v>1522</v>
      </c>
      <c r="J329" s="1" t="s">
        <v>1523</v>
      </c>
      <c r="K329" s="1" t="s">
        <v>1524</v>
      </c>
      <c r="M329" s="1" t="s">
        <v>1525</v>
      </c>
      <c r="N329" s="1" t="s">
        <v>1526</v>
      </c>
      <c r="O329" s="1" t="str">
        <f>"50211"</f>
        <v>50211</v>
      </c>
    </row>
    <row r="330" spans="1:15" x14ac:dyDescent="0.2">
      <c r="A330" s="1" t="s">
        <v>1527</v>
      </c>
      <c r="B330" s="1" t="s">
        <v>1528</v>
      </c>
      <c r="C330" s="1">
        <v>1</v>
      </c>
      <c r="D330" s="2">
        <v>50</v>
      </c>
      <c r="E330" s="1" t="s">
        <v>17</v>
      </c>
      <c r="F330" s="1" t="s">
        <v>1529</v>
      </c>
      <c r="G330" s="1" t="s">
        <v>19</v>
      </c>
      <c r="H330" s="3">
        <v>0.83333333333333337</v>
      </c>
      <c r="I330" s="1" t="s">
        <v>1530</v>
      </c>
      <c r="K330" s="1" t="s">
        <v>1531</v>
      </c>
      <c r="M330" s="1" t="s">
        <v>1309</v>
      </c>
      <c r="N330" s="1" t="s">
        <v>23</v>
      </c>
      <c r="O330" s="1" t="str">
        <f>"94553"</f>
        <v>94553</v>
      </c>
    </row>
    <row r="331" spans="1:15" x14ac:dyDescent="0.2">
      <c r="A331" s="1" t="s">
        <v>1532</v>
      </c>
      <c r="B331" s="1" t="s">
        <v>1533</v>
      </c>
      <c r="C331" s="1">
        <v>2</v>
      </c>
      <c r="D331" s="2">
        <v>75</v>
      </c>
      <c r="E331" s="1" t="s">
        <v>17</v>
      </c>
      <c r="F331" s="1" t="s">
        <v>1534</v>
      </c>
      <c r="G331" s="1" t="s">
        <v>19</v>
      </c>
      <c r="H331" s="3">
        <v>0.83333333333333337</v>
      </c>
      <c r="I331" s="1" t="s">
        <v>1535</v>
      </c>
      <c r="J331" s="1" t="s">
        <v>1536</v>
      </c>
      <c r="K331" s="1" t="s">
        <v>1537</v>
      </c>
      <c r="M331" s="1" t="s">
        <v>1538</v>
      </c>
      <c r="N331" s="1" t="s">
        <v>494</v>
      </c>
      <c r="O331" s="1" t="str">
        <f>"32720"</f>
        <v>32720</v>
      </c>
    </row>
    <row r="332" spans="1:15" x14ac:dyDescent="0.2">
      <c r="A332" s="1" t="s">
        <v>1539</v>
      </c>
      <c r="B332" s="1" t="s">
        <v>1540</v>
      </c>
      <c r="C332" s="1">
        <v>2</v>
      </c>
      <c r="D332" s="2">
        <v>65</v>
      </c>
      <c r="E332" s="1" t="s">
        <v>17</v>
      </c>
      <c r="F332" s="1" t="s">
        <v>1541</v>
      </c>
      <c r="G332" s="1" t="s">
        <v>19</v>
      </c>
      <c r="H332" s="3">
        <v>0.83333333333333337</v>
      </c>
      <c r="I332" s="1" t="s">
        <v>1540</v>
      </c>
      <c r="J332" s="1" t="s">
        <v>1542</v>
      </c>
      <c r="K332" s="1" t="s">
        <v>1543</v>
      </c>
      <c r="M332" s="1" t="s">
        <v>51</v>
      </c>
      <c r="N332" s="1" t="s">
        <v>23</v>
      </c>
      <c r="O332" s="1" t="str">
        <f>"94110"</f>
        <v>94110</v>
      </c>
    </row>
    <row r="333" spans="1:15" x14ac:dyDescent="0.2">
      <c r="A333" s="1" t="s">
        <v>1539</v>
      </c>
      <c r="B333" s="1" t="s">
        <v>1544</v>
      </c>
      <c r="C333" s="1">
        <v>2</v>
      </c>
      <c r="D333" s="2">
        <v>50</v>
      </c>
      <c r="E333" s="1" t="s">
        <v>17</v>
      </c>
      <c r="F333" s="1" t="s">
        <v>1545</v>
      </c>
      <c r="G333" s="1" t="s">
        <v>19</v>
      </c>
      <c r="H333" s="3">
        <v>0.83333333333333337</v>
      </c>
      <c r="I333" s="1" t="s">
        <v>1546</v>
      </c>
      <c r="K333" s="1" t="s">
        <v>1547</v>
      </c>
      <c r="M333" s="1" t="s">
        <v>892</v>
      </c>
      <c r="N333" s="1" t="s">
        <v>23</v>
      </c>
      <c r="O333" s="1" t="str">
        <f>"95051"</f>
        <v>95051</v>
      </c>
    </row>
    <row r="334" spans="1:15" x14ac:dyDescent="0.2">
      <c r="A334" s="1" t="s">
        <v>1548</v>
      </c>
      <c r="B334" s="1" t="s">
        <v>768</v>
      </c>
      <c r="C334" s="1">
        <v>2</v>
      </c>
      <c r="D334" s="2">
        <v>75</v>
      </c>
      <c r="E334" s="1" t="s">
        <v>17</v>
      </c>
      <c r="F334" s="1" t="s">
        <v>1549</v>
      </c>
      <c r="G334" s="1" t="s">
        <v>19</v>
      </c>
      <c r="H334" s="3">
        <v>0.83333333333333337</v>
      </c>
      <c r="I334" s="1" t="s">
        <v>1550</v>
      </c>
      <c r="K334" s="1" t="s">
        <v>1551</v>
      </c>
      <c r="M334" s="1" t="s">
        <v>473</v>
      </c>
      <c r="N334" s="1" t="s">
        <v>23</v>
      </c>
      <c r="O334" s="1" t="str">
        <f>"94582"</f>
        <v>94582</v>
      </c>
    </row>
    <row r="335" spans="1:15" x14ac:dyDescent="0.2">
      <c r="A335" s="1" t="s">
        <v>1552</v>
      </c>
      <c r="B335" s="1" t="s">
        <v>768</v>
      </c>
      <c r="C335" s="1">
        <v>1</v>
      </c>
      <c r="D335" s="2">
        <v>35</v>
      </c>
      <c r="E335" s="1" t="s">
        <v>17</v>
      </c>
      <c r="F335" s="1" t="s">
        <v>1553</v>
      </c>
      <c r="G335" s="1" t="s">
        <v>19</v>
      </c>
      <c r="H335" s="3">
        <v>0.83333333333333337</v>
      </c>
      <c r="I335" s="1" t="s">
        <v>1550</v>
      </c>
      <c r="J335" s="1">
        <v>5103788330</v>
      </c>
      <c r="K335" s="1" t="s">
        <v>1551</v>
      </c>
      <c r="M335" s="1" t="s">
        <v>744</v>
      </c>
      <c r="N335" s="1" t="s">
        <v>23</v>
      </c>
      <c r="O335" s="1" t="str">
        <f>"94482"</f>
        <v>94482</v>
      </c>
    </row>
    <row r="336" spans="1:15" x14ac:dyDescent="0.2">
      <c r="A336" s="1" t="s">
        <v>1554</v>
      </c>
      <c r="B336" s="1" t="s">
        <v>1555</v>
      </c>
      <c r="C336" s="1">
        <v>2</v>
      </c>
      <c r="D336" s="2">
        <v>65</v>
      </c>
      <c r="E336" s="1" t="s">
        <v>17</v>
      </c>
      <c r="F336" s="1" t="s">
        <v>1556</v>
      </c>
      <c r="G336" s="1" t="s">
        <v>19</v>
      </c>
      <c r="H336" s="3">
        <v>0.83333333333333337</v>
      </c>
      <c r="I336" s="1" t="s">
        <v>1557</v>
      </c>
      <c r="K336" s="1" t="s">
        <v>1558</v>
      </c>
      <c r="M336" s="1" t="s">
        <v>350</v>
      </c>
      <c r="N336" s="1" t="s">
        <v>23</v>
      </c>
      <c r="O336" s="1" t="str">
        <f>"94563"</f>
        <v>94563</v>
      </c>
    </row>
    <row r="337" spans="1:15" x14ac:dyDescent="0.2">
      <c r="A337" s="1" t="s">
        <v>1559</v>
      </c>
      <c r="B337" s="1" t="s">
        <v>1560</v>
      </c>
      <c r="C337" s="1">
        <v>2</v>
      </c>
      <c r="D337" s="2">
        <v>65</v>
      </c>
      <c r="E337" s="1" t="s">
        <v>17</v>
      </c>
      <c r="F337" s="1" t="s">
        <v>1561</v>
      </c>
      <c r="G337" s="1" t="s">
        <v>19</v>
      </c>
      <c r="H337" s="3">
        <v>0.83333333333333337</v>
      </c>
      <c r="I337" s="1" t="s">
        <v>1562</v>
      </c>
      <c r="K337" s="1" t="s">
        <v>1563</v>
      </c>
      <c r="M337" s="1" t="s">
        <v>51</v>
      </c>
      <c r="N337" s="1" t="s">
        <v>23</v>
      </c>
      <c r="O337" s="1" t="str">
        <f>"94116"</f>
        <v>94116</v>
      </c>
    </row>
    <row r="338" spans="1:15" x14ac:dyDescent="0.2">
      <c r="A338" s="1" t="s">
        <v>1564</v>
      </c>
      <c r="B338" s="1" t="s">
        <v>1565</v>
      </c>
      <c r="C338" s="1">
        <v>2</v>
      </c>
      <c r="D338" s="2">
        <v>50</v>
      </c>
      <c r="E338" s="1" t="s">
        <v>17</v>
      </c>
      <c r="F338" s="1" t="s">
        <v>1566</v>
      </c>
      <c r="G338" s="1" t="s">
        <v>19</v>
      </c>
      <c r="H338" s="3">
        <v>0.83333333333333337</v>
      </c>
      <c r="I338" s="1" t="s">
        <v>1567</v>
      </c>
      <c r="K338" s="1" t="s">
        <v>1568</v>
      </c>
      <c r="M338" s="1" t="s">
        <v>100</v>
      </c>
      <c r="N338" s="1" t="s">
        <v>23</v>
      </c>
      <c r="O338" s="1" t="str">
        <f>"95126"</f>
        <v>95126</v>
      </c>
    </row>
    <row r="339" spans="1:15" x14ac:dyDescent="0.2">
      <c r="A339" s="1" t="s">
        <v>1564</v>
      </c>
      <c r="B339" s="1" t="s">
        <v>1565</v>
      </c>
      <c r="C339" s="1">
        <v>2</v>
      </c>
      <c r="D339" s="2">
        <v>50</v>
      </c>
      <c r="E339" s="1" t="s">
        <v>17</v>
      </c>
      <c r="F339" s="1" t="s">
        <v>1569</v>
      </c>
      <c r="G339" s="1" t="s">
        <v>19</v>
      </c>
      <c r="H339" s="3">
        <v>0.83333333333333337</v>
      </c>
      <c r="I339" s="1" t="s">
        <v>1567</v>
      </c>
      <c r="K339" s="1" t="s">
        <v>1568</v>
      </c>
      <c r="M339" s="1" t="s">
        <v>100</v>
      </c>
      <c r="N339" s="1" t="s">
        <v>23</v>
      </c>
      <c r="O339" s="1" t="str">
        <f>"95126"</f>
        <v>95126</v>
      </c>
    </row>
    <row r="340" spans="1:15" x14ac:dyDescent="0.2">
      <c r="A340" s="1" t="s">
        <v>1570</v>
      </c>
      <c r="B340" s="1" t="s">
        <v>1571</v>
      </c>
      <c r="C340" s="1">
        <v>4</v>
      </c>
      <c r="D340" s="2">
        <v>75</v>
      </c>
      <c r="E340" s="1" t="s">
        <v>17</v>
      </c>
      <c r="F340" s="1" t="s">
        <v>1572</v>
      </c>
      <c r="G340" s="1" t="s">
        <v>19</v>
      </c>
      <c r="H340" s="3">
        <v>0.83333333333333337</v>
      </c>
      <c r="I340" s="1" t="s">
        <v>1573</v>
      </c>
      <c r="K340" s="1" t="s">
        <v>1574</v>
      </c>
      <c r="M340" s="1" t="s">
        <v>100</v>
      </c>
      <c r="N340" s="1" t="s">
        <v>23</v>
      </c>
      <c r="O340" s="1" t="str">
        <f>"95128"</f>
        <v>95128</v>
      </c>
    </row>
    <row r="341" spans="1:15" x14ac:dyDescent="0.2">
      <c r="A341" s="1" t="s">
        <v>1575</v>
      </c>
      <c r="B341" s="1" t="s">
        <v>1576</v>
      </c>
      <c r="C341" s="1">
        <v>2</v>
      </c>
      <c r="D341" s="2">
        <v>75</v>
      </c>
      <c r="E341" s="1" t="s">
        <v>17</v>
      </c>
      <c r="F341" s="1" t="s">
        <v>1577</v>
      </c>
      <c r="G341" s="1" t="s">
        <v>19</v>
      </c>
      <c r="H341" s="3">
        <v>0.83333333333333337</v>
      </c>
      <c r="I341" s="1" t="s">
        <v>1578</v>
      </c>
      <c r="K341" s="1" t="s">
        <v>1579</v>
      </c>
      <c r="M341" s="1" t="s">
        <v>1580</v>
      </c>
      <c r="N341" s="1" t="s">
        <v>23</v>
      </c>
      <c r="O341" s="1" t="str">
        <f>"94534"</f>
        <v>94534</v>
      </c>
    </row>
    <row r="342" spans="1:15" x14ac:dyDescent="0.2">
      <c r="A342" s="1" t="s">
        <v>1581</v>
      </c>
      <c r="B342" s="1" t="s">
        <v>1582</v>
      </c>
      <c r="C342" s="1">
        <v>2</v>
      </c>
      <c r="D342" s="2">
        <v>65</v>
      </c>
      <c r="E342" s="1" t="s">
        <v>17</v>
      </c>
      <c r="F342" s="1" t="s">
        <v>1583</v>
      </c>
      <c r="G342" s="1" t="s">
        <v>19</v>
      </c>
      <c r="H342" s="3">
        <v>0.83333333333333337</v>
      </c>
      <c r="I342" s="1" t="s">
        <v>1584</v>
      </c>
      <c r="J342" s="1">
        <v>4154815521</v>
      </c>
      <c r="K342" s="1" t="s">
        <v>1585</v>
      </c>
      <c r="L342" s="1" t="s">
        <v>1586</v>
      </c>
      <c r="M342" s="1" t="s">
        <v>51</v>
      </c>
      <c r="N342" s="1" t="s">
        <v>23</v>
      </c>
      <c r="O342" s="1" t="str">
        <f>"94115"</f>
        <v>94115</v>
      </c>
    </row>
    <row r="343" spans="1:15" x14ac:dyDescent="0.2">
      <c r="A343" s="1" t="s">
        <v>1587</v>
      </c>
      <c r="B343" s="1" t="s">
        <v>1588</v>
      </c>
      <c r="C343" s="1">
        <v>2</v>
      </c>
      <c r="D343" s="2">
        <v>65</v>
      </c>
      <c r="E343" s="1" t="s">
        <v>17</v>
      </c>
      <c r="F343" s="1" t="s">
        <v>1589</v>
      </c>
      <c r="G343" s="1" t="s">
        <v>19</v>
      </c>
      <c r="H343" s="3">
        <v>0.83333333333333337</v>
      </c>
      <c r="I343" s="1" t="s">
        <v>1590</v>
      </c>
      <c r="J343" s="1" t="s">
        <v>1591</v>
      </c>
      <c r="K343" s="1" t="s">
        <v>1592</v>
      </c>
      <c r="M343" s="1" t="s">
        <v>1038</v>
      </c>
      <c r="N343" s="1" t="s">
        <v>23</v>
      </c>
      <c r="O343" s="1" t="str">
        <f>"94536"</f>
        <v>94536</v>
      </c>
    </row>
    <row r="344" spans="1:15" x14ac:dyDescent="0.2">
      <c r="A344" s="1" t="s">
        <v>1593</v>
      </c>
      <c r="B344" s="1" t="s">
        <v>1594</v>
      </c>
      <c r="C344" s="1">
        <v>1</v>
      </c>
      <c r="D344" s="2">
        <v>65</v>
      </c>
      <c r="E344" s="1" t="s">
        <v>17</v>
      </c>
      <c r="F344" s="1" t="s">
        <v>1595</v>
      </c>
      <c r="G344" s="1" t="s">
        <v>19</v>
      </c>
      <c r="H344" s="3">
        <v>0.83333333333333337</v>
      </c>
      <c r="I344" s="1" t="s">
        <v>1596</v>
      </c>
      <c r="K344" s="1" t="s">
        <v>1597</v>
      </c>
      <c r="M344" s="1" t="s">
        <v>649</v>
      </c>
      <c r="N344" s="1" t="s">
        <v>23</v>
      </c>
      <c r="O344" s="1" t="str">
        <f>"94598"</f>
        <v>94598</v>
      </c>
    </row>
    <row r="345" spans="1:15" x14ac:dyDescent="0.2">
      <c r="A345" s="1" t="s">
        <v>1598</v>
      </c>
      <c r="B345" s="1" t="s">
        <v>1599</v>
      </c>
      <c r="C345" s="1">
        <v>2</v>
      </c>
      <c r="D345" s="2">
        <v>50</v>
      </c>
      <c r="E345" s="1" t="s">
        <v>17</v>
      </c>
      <c r="F345" s="1" t="s">
        <v>1600</v>
      </c>
      <c r="G345" s="1" t="s">
        <v>19</v>
      </c>
      <c r="H345" s="3">
        <v>0.83333333333333337</v>
      </c>
      <c r="I345" s="1" t="s">
        <v>1601</v>
      </c>
      <c r="K345" s="1" t="s">
        <v>1602</v>
      </c>
      <c r="M345" s="1" t="s">
        <v>350</v>
      </c>
      <c r="N345" s="1" t="s">
        <v>23</v>
      </c>
      <c r="O345" s="1" t="str">
        <f>"94563"</f>
        <v>94563</v>
      </c>
    </row>
    <row r="346" spans="1:15" x14ac:dyDescent="0.2">
      <c r="A346" s="1" t="s">
        <v>1603</v>
      </c>
      <c r="B346" s="1" t="s">
        <v>1604</v>
      </c>
      <c r="C346" s="1">
        <v>2</v>
      </c>
      <c r="D346" s="2">
        <v>65</v>
      </c>
      <c r="E346" s="1" t="s">
        <v>17</v>
      </c>
      <c r="F346" s="1" t="s">
        <v>1605</v>
      </c>
      <c r="G346" s="1" t="s">
        <v>19</v>
      </c>
      <c r="H346" s="3">
        <v>0.83333333333333337</v>
      </c>
      <c r="I346" s="1" t="s">
        <v>1606</v>
      </c>
      <c r="K346" s="1" t="s">
        <v>1607</v>
      </c>
      <c r="M346" s="1" t="s">
        <v>1056</v>
      </c>
      <c r="N346" s="1" t="s">
        <v>23</v>
      </c>
      <c r="O346" s="1" t="str">
        <f>"94062"</f>
        <v>94062</v>
      </c>
    </row>
    <row r="347" spans="1:15" x14ac:dyDescent="0.2">
      <c r="A347" s="1" t="s">
        <v>1608</v>
      </c>
      <c r="B347" s="1" t="s">
        <v>1609</v>
      </c>
      <c r="C347" s="1">
        <v>5</v>
      </c>
      <c r="D347" s="2">
        <v>0</v>
      </c>
      <c r="E347" s="1" t="s">
        <v>27</v>
      </c>
      <c r="F347" s="1" t="s">
        <v>1610</v>
      </c>
      <c r="G347" s="1" t="s">
        <v>19</v>
      </c>
      <c r="H347" s="3">
        <v>0.83333333333333337</v>
      </c>
      <c r="J347" s="1" t="s">
        <v>421</v>
      </c>
      <c r="K347" s="1" t="s">
        <v>204</v>
      </c>
      <c r="M347" s="1" t="s">
        <v>204</v>
      </c>
      <c r="N347" s="1" t="s">
        <v>23</v>
      </c>
      <c r="O347" s="1" t="str">
        <f>"00000"</f>
        <v>00000</v>
      </c>
    </row>
    <row r="348" spans="1:15" x14ac:dyDescent="0.2">
      <c r="A348" s="1" t="s">
        <v>1611</v>
      </c>
      <c r="B348" s="1" t="s">
        <v>1612</v>
      </c>
      <c r="C348" s="1">
        <v>2</v>
      </c>
      <c r="D348" s="2">
        <v>65</v>
      </c>
      <c r="E348" s="1" t="s">
        <v>17</v>
      </c>
      <c r="F348" s="1" t="s">
        <v>1613</v>
      </c>
      <c r="G348" s="1" t="s">
        <v>19</v>
      </c>
      <c r="H348" s="3">
        <v>0.83333333333333337</v>
      </c>
      <c r="I348" s="1" t="s">
        <v>1614</v>
      </c>
      <c r="J348" s="1">
        <v>2065022381</v>
      </c>
      <c r="K348" s="1" t="s">
        <v>1615</v>
      </c>
      <c r="M348" s="1" t="s">
        <v>1616</v>
      </c>
      <c r="N348" s="1" t="s">
        <v>886</v>
      </c>
      <c r="O348" s="1" t="str">
        <f>"98382"</f>
        <v>98382</v>
      </c>
    </row>
    <row r="349" spans="1:15" x14ac:dyDescent="0.2">
      <c r="A349" s="1" t="s">
        <v>1617</v>
      </c>
      <c r="B349" s="1" t="s">
        <v>1618</v>
      </c>
      <c r="C349" s="1">
        <v>2</v>
      </c>
      <c r="D349" s="2">
        <v>65</v>
      </c>
      <c r="E349" s="1" t="s">
        <v>17</v>
      </c>
      <c r="F349" s="1" t="s">
        <v>1619</v>
      </c>
      <c r="G349" s="1" t="s">
        <v>19</v>
      </c>
      <c r="H349" s="3">
        <v>0.83333333333333337</v>
      </c>
      <c r="I349" s="1" t="s">
        <v>1620</v>
      </c>
      <c r="K349" s="1" t="s">
        <v>1621</v>
      </c>
      <c r="M349" s="1" t="s">
        <v>51</v>
      </c>
      <c r="N349" s="1" t="s">
        <v>23</v>
      </c>
      <c r="O349" s="1" t="str">
        <f>"94108"</f>
        <v>94108</v>
      </c>
    </row>
    <row r="350" spans="1:15" x14ac:dyDescent="0.2">
      <c r="A350" s="1" t="s">
        <v>1622</v>
      </c>
      <c r="B350" s="1" t="s">
        <v>723</v>
      </c>
      <c r="C350" s="1">
        <v>2</v>
      </c>
      <c r="D350" s="2">
        <v>65</v>
      </c>
      <c r="E350" s="1" t="s">
        <v>17</v>
      </c>
      <c r="F350" s="1" t="s">
        <v>1623</v>
      </c>
      <c r="G350" s="1" t="s">
        <v>19</v>
      </c>
      <c r="H350" s="3">
        <v>0.83333333333333337</v>
      </c>
      <c r="I350" s="1" t="s">
        <v>1624</v>
      </c>
      <c r="K350" s="1" t="s">
        <v>1625</v>
      </c>
      <c r="M350" s="1" t="s">
        <v>1626</v>
      </c>
      <c r="N350" s="1" t="s">
        <v>23</v>
      </c>
      <c r="O350" s="1" t="str">
        <f>"95382"</f>
        <v>95382</v>
      </c>
    </row>
    <row r="351" spans="1:15" x14ac:dyDescent="0.2">
      <c r="A351" s="1" t="s">
        <v>1627</v>
      </c>
      <c r="B351" s="1" t="s">
        <v>1628</v>
      </c>
      <c r="C351" s="1">
        <v>4</v>
      </c>
      <c r="D351" s="2">
        <v>50</v>
      </c>
      <c r="E351" s="1" t="s">
        <v>17</v>
      </c>
      <c r="F351" s="1" t="s">
        <v>1629</v>
      </c>
      <c r="G351" s="1" t="s">
        <v>19</v>
      </c>
      <c r="H351" s="3">
        <v>0.83333333333333337</v>
      </c>
      <c r="I351" s="1" t="s">
        <v>1630</v>
      </c>
      <c r="K351" s="1" t="s">
        <v>1631</v>
      </c>
      <c r="M351" s="1" t="s">
        <v>1632</v>
      </c>
      <c r="N351" s="1" t="s">
        <v>23</v>
      </c>
      <c r="O351" s="1" t="str">
        <f>"94920"</f>
        <v>94920</v>
      </c>
    </row>
    <row r="352" spans="1:15" x14ac:dyDescent="0.2">
      <c r="A352" s="1" t="s">
        <v>1633</v>
      </c>
      <c r="B352" s="1" t="s">
        <v>1634</v>
      </c>
      <c r="C352" s="1">
        <v>4</v>
      </c>
      <c r="D352" s="2">
        <v>75</v>
      </c>
      <c r="E352" s="1" t="s">
        <v>17</v>
      </c>
      <c r="F352" s="1" t="s">
        <v>1635</v>
      </c>
      <c r="G352" s="1" t="s">
        <v>19</v>
      </c>
      <c r="H352" s="3">
        <v>0.83333333333333337</v>
      </c>
      <c r="I352" s="1" t="s">
        <v>1636</v>
      </c>
      <c r="K352" s="1" t="s">
        <v>1637</v>
      </c>
      <c r="M352" s="1" t="s">
        <v>51</v>
      </c>
      <c r="N352" s="1" t="s">
        <v>23</v>
      </c>
      <c r="O352" s="1" t="str">
        <f>"95014"</f>
        <v>95014</v>
      </c>
    </row>
    <row r="353" spans="1:15" x14ac:dyDescent="0.2">
      <c r="A353" s="1" t="s">
        <v>1638</v>
      </c>
      <c r="B353" s="1" t="s">
        <v>1639</v>
      </c>
      <c r="C353" s="1">
        <v>3</v>
      </c>
      <c r="D353" s="2">
        <v>65</v>
      </c>
      <c r="E353" s="1" t="s">
        <v>17</v>
      </c>
      <c r="F353" s="1" t="s">
        <v>1640</v>
      </c>
      <c r="G353" s="1" t="s">
        <v>19</v>
      </c>
      <c r="H353" s="3">
        <v>0.83333333333333337</v>
      </c>
      <c r="I353" s="1" t="s">
        <v>1641</v>
      </c>
      <c r="J353" s="1">
        <v>6504476424</v>
      </c>
      <c r="K353" s="1" t="s">
        <v>1642</v>
      </c>
      <c r="L353" s="1" t="s">
        <v>1643</v>
      </c>
      <c r="M353" s="1" t="s">
        <v>912</v>
      </c>
      <c r="N353" s="1" t="s">
        <v>23</v>
      </c>
      <c r="O353" s="1" t="str">
        <f>"95014"</f>
        <v>95014</v>
      </c>
    </row>
    <row r="354" spans="1:15" x14ac:dyDescent="0.2">
      <c r="A354" s="1" t="s">
        <v>1644</v>
      </c>
      <c r="B354" s="1" t="s">
        <v>1645</v>
      </c>
      <c r="C354" s="1">
        <v>3</v>
      </c>
      <c r="D354" s="2">
        <v>50</v>
      </c>
      <c r="E354" s="1" t="s">
        <v>17</v>
      </c>
      <c r="F354" s="1" t="s">
        <v>1646</v>
      </c>
      <c r="G354" s="1" t="s">
        <v>19</v>
      </c>
      <c r="H354" s="3">
        <v>0.83333333333333337</v>
      </c>
      <c r="I354" s="1" t="s">
        <v>1647</v>
      </c>
      <c r="J354" s="1">
        <v>4089925567</v>
      </c>
      <c r="K354" s="1" t="s">
        <v>1648</v>
      </c>
      <c r="L354" s="1" t="s">
        <v>1649</v>
      </c>
      <c r="M354" s="1" t="s">
        <v>51</v>
      </c>
      <c r="N354" s="1" t="s">
        <v>23</v>
      </c>
      <c r="O354" s="1" t="str">
        <f>"94123"</f>
        <v>94123</v>
      </c>
    </row>
    <row r="355" spans="1:15" x14ac:dyDescent="0.2">
      <c r="A355" s="1" t="s">
        <v>1650</v>
      </c>
      <c r="B355" s="1" t="s">
        <v>1019</v>
      </c>
      <c r="C355" s="1">
        <v>4</v>
      </c>
      <c r="D355" s="2">
        <v>110</v>
      </c>
      <c r="E355" s="1" t="s">
        <v>17</v>
      </c>
      <c r="F355" s="1" t="s">
        <v>1651</v>
      </c>
      <c r="G355" s="1" t="s">
        <v>19</v>
      </c>
      <c r="H355" s="3">
        <v>0.83333333333333337</v>
      </c>
      <c r="I355" s="1" t="s">
        <v>1652</v>
      </c>
      <c r="K355" s="1" t="s">
        <v>1653</v>
      </c>
      <c r="M355" s="1" t="s">
        <v>1440</v>
      </c>
      <c r="N355" s="1" t="s">
        <v>1441</v>
      </c>
      <c r="O355" s="1" t="str">
        <f>"89521"</f>
        <v>89521</v>
      </c>
    </row>
    <row r="356" spans="1:15" x14ac:dyDescent="0.2">
      <c r="A356" s="1" t="s">
        <v>1654</v>
      </c>
      <c r="B356" s="1" t="s">
        <v>1655</v>
      </c>
      <c r="C356" s="1">
        <v>2</v>
      </c>
      <c r="D356" s="2">
        <v>125</v>
      </c>
      <c r="E356" s="1" t="s">
        <v>17</v>
      </c>
      <c r="F356" s="1" t="s">
        <v>1656</v>
      </c>
      <c r="G356" s="1" t="s">
        <v>19</v>
      </c>
      <c r="H356" s="3">
        <v>0.83333333333333337</v>
      </c>
      <c r="I356" s="1" t="s">
        <v>1657</v>
      </c>
      <c r="K356" s="1" t="s">
        <v>1658</v>
      </c>
      <c r="M356" s="1" t="s">
        <v>1659</v>
      </c>
      <c r="N356" s="1" t="s">
        <v>1441</v>
      </c>
      <c r="O356" s="1" t="str">
        <f>"89451"</f>
        <v>89451</v>
      </c>
    </row>
    <row r="357" spans="1:15" x14ac:dyDescent="0.2">
      <c r="A357" s="1" t="s">
        <v>1654</v>
      </c>
      <c r="B357" s="1" t="s">
        <v>1660</v>
      </c>
      <c r="C357" s="1">
        <v>2</v>
      </c>
      <c r="D357" s="2">
        <v>50</v>
      </c>
      <c r="E357" s="1" t="s">
        <v>17</v>
      </c>
      <c r="F357" s="1" t="s">
        <v>1661</v>
      </c>
      <c r="G357" s="1" t="s">
        <v>19</v>
      </c>
      <c r="H357" s="3">
        <v>0.83333333333333337</v>
      </c>
      <c r="I357" s="1" t="s">
        <v>1662</v>
      </c>
      <c r="K357" s="1" t="s">
        <v>1663</v>
      </c>
      <c r="M357" s="1" t="s">
        <v>100</v>
      </c>
      <c r="N357" s="1" t="s">
        <v>23</v>
      </c>
      <c r="O357" s="1" t="str">
        <f>"95129"</f>
        <v>95129</v>
      </c>
    </row>
    <row r="358" spans="1:15" x14ac:dyDescent="0.2">
      <c r="A358" s="1" t="s">
        <v>1664</v>
      </c>
      <c r="B358" s="1" t="s">
        <v>1222</v>
      </c>
      <c r="C358" s="1">
        <v>1</v>
      </c>
      <c r="D358" s="2">
        <v>50</v>
      </c>
      <c r="E358" s="1" t="s">
        <v>17</v>
      </c>
      <c r="F358" s="1" t="s">
        <v>1665</v>
      </c>
      <c r="G358" s="1" t="s">
        <v>19</v>
      </c>
      <c r="H358" s="3">
        <v>0.83333333333333337</v>
      </c>
      <c r="I358" s="1" t="s">
        <v>1666</v>
      </c>
      <c r="J358" s="1">
        <v>2134763300</v>
      </c>
      <c r="K358" s="1" t="s">
        <v>1667</v>
      </c>
      <c r="M358" s="1" t="s">
        <v>327</v>
      </c>
      <c r="N358" s="1" t="s">
        <v>23</v>
      </c>
      <c r="O358" s="1" t="str">
        <f>"94597"</f>
        <v>94597</v>
      </c>
    </row>
    <row r="359" spans="1:15" x14ac:dyDescent="0.2">
      <c r="A359" s="1" t="s">
        <v>1668</v>
      </c>
      <c r="B359" s="1" t="s">
        <v>1669</v>
      </c>
      <c r="C359" s="1">
        <v>2</v>
      </c>
      <c r="D359" s="2">
        <v>65</v>
      </c>
      <c r="E359" s="1" t="s">
        <v>17</v>
      </c>
      <c r="F359" s="1" t="s">
        <v>1670</v>
      </c>
      <c r="G359" s="1" t="s">
        <v>19</v>
      </c>
      <c r="H359" s="3">
        <v>0.83333333333333337</v>
      </c>
      <c r="I359" s="1" t="s">
        <v>1671</v>
      </c>
      <c r="J359" s="1">
        <v>4084641452</v>
      </c>
      <c r="K359" s="1" t="s">
        <v>1672</v>
      </c>
      <c r="M359" s="1" t="s">
        <v>626</v>
      </c>
      <c r="N359" s="1" t="s">
        <v>23</v>
      </c>
      <c r="O359" s="1" t="str">
        <f>"94708"</f>
        <v>94708</v>
      </c>
    </row>
    <row r="360" spans="1:15" x14ac:dyDescent="0.2">
      <c r="A360" s="1" t="s">
        <v>1673</v>
      </c>
      <c r="B360" s="1" t="s">
        <v>1674</v>
      </c>
      <c r="C360" s="1">
        <v>3</v>
      </c>
      <c r="D360" s="2">
        <v>50</v>
      </c>
      <c r="E360" s="1" t="s">
        <v>17</v>
      </c>
      <c r="F360" s="1" t="s">
        <v>1675</v>
      </c>
      <c r="G360" s="1" t="s">
        <v>19</v>
      </c>
      <c r="H360" s="3">
        <v>0.83333333333333337</v>
      </c>
      <c r="I360" s="1" t="s">
        <v>1676</v>
      </c>
      <c r="K360" s="1" t="s">
        <v>1677</v>
      </c>
      <c r="M360" s="1" t="s">
        <v>1678</v>
      </c>
      <c r="N360" s="1" t="s">
        <v>23</v>
      </c>
      <c r="O360" s="1" t="str">
        <f>"94549"</f>
        <v>94549</v>
      </c>
    </row>
    <row r="361" spans="1:15" x14ac:dyDescent="0.2">
      <c r="A361" s="1" t="s">
        <v>1679</v>
      </c>
      <c r="B361" s="1" t="s">
        <v>1680</v>
      </c>
      <c r="C361" s="1">
        <v>1</v>
      </c>
      <c r="D361" s="2">
        <v>35</v>
      </c>
      <c r="E361" s="1" t="s">
        <v>17</v>
      </c>
      <c r="F361" s="1" t="s">
        <v>1681</v>
      </c>
      <c r="G361" s="1" t="s">
        <v>19</v>
      </c>
      <c r="H361" s="3">
        <v>0.83333333333333337</v>
      </c>
      <c r="I361" s="1" t="s">
        <v>1682</v>
      </c>
      <c r="K361" s="1" t="s">
        <v>1683</v>
      </c>
      <c r="M361" s="1" t="s">
        <v>1684</v>
      </c>
      <c r="N361" s="1" t="s">
        <v>23</v>
      </c>
      <c r="O361" s="1" t="str">
        <f>"94030"</f>
        <v>94030</v>
      </c>
    </row>
    <row r="362" spans="1:15" x14ac:dyDescent="0.2">
      <c r="A362" s="1" t="s">
        <v>1679</v>
      </c>
      <c r="B362" s="1" t="s">
        <v>1680</v>
      </c>
      <c r="C362" s="1">
        <v>2</v>
      </c>
      <c r="D362" s="2">
        <v>35</v>
      </c>
      <c r="E362" s="1" t="s">
        <v>17</v>
      </c>
      <c r="F362" s="1" t="s">
        <v>1685</v>
      </c>
      <c r="G362" s="1" t="s">
        <v>19</v>
      </c>
      <c r="H362" s="3">
        <v>0.83333333333333337</v>
      </c>
      <c r="I362" s="1" t="s">
        <v>1682</v>
      </c>
      <c r="K362" s="1" t="s">
        <v>1683</v>
      </c>
      <c r="M362" s="1" t="s">
        <v>1684</v>
      </c>
      <c r="N362" s="1" t="s">
        <v>23</v>
      </c>
      <c r="O362" s="1" t="str">
        <f>"94030"</f>
        <v>94030</v>
      </c>
    </row>
    <row r="363" spans="1:15" x14ac:dyDescent="0.2">
      <c r="A363" s="1" t="s">
        <v>1686</v>
      </c>
      <c r="B363" s="1" t="s">
        <v>1687</v>
      </c>
      <c r="C363" s="1">
        <v>4</v>
      </c>
      <c r="D363" s="2">
        <v>65</v>
      </c>
      <c r="E363" s="1" t="s">
        <v>17</v>
      </c>
      <c r="F363" s="1" t="s">
        <v>1688</v>
      </c>
      <c r="G363" s="1" t="s">
        <v>19</v>
      </c>
      <c r="H363" s="3">
        <v>0.83333333333333337</v>
      </c>
      <c r="I363" s="1" t="s">
        <v>1689</v>
      </c>
      <c r="J363" s="1" t="s">
        <v>1690</v>
      </c>
      <c r="K363" s="1" t="s">
        <v>1691</v>
      </c>
      <c r="M363" s="1" t="s">
        <v>829</v>
      </c>
      <c r="N363" s="1" t="s">
        <v>23</v>
      </c>
      <c r="O363" s="1" t="str">
        <f>"94707"</f>
        <v>94707</v>
      </c>
    </row>
    <row r="364" spans="1:15" x14ac:dyDescent="0.2">
      <c r="A364" s="1" t="s">
        <v>1692</v>
      </c>
      <c r="B364" s="1" t="s">
        <v>1693</v>
      </c>
      <c r="C364" s="1">
        <v>2</v>
      </c>
      <c r="D364" s="2">
        <v>65</v>
      </c>
      <c r="E364" s="1" t="s">
        <v>17</v>
      </c>
      <c r="F364" s="1" t="s">
        <v>1694</v>
      </c>
      <c r="G364" s="1" t="s">
        <v>19</v>
      </c>
      <c r="H364" s="3">
        <v>0.83333333333333337</v>
      </c>
      <c r="I364" s="1" t="s">
        <v>1695</v>
      </c>
      <c r="K364" s="1" t="s">
        <v>1696</v>
      </c>
      <c r="M364" s="1" t="s">
        <v>1697</v>
      </c>
      <c r="N364" s="1" t="s">
        <v>23</v>
      </c>
      <c r="O364" s="1" t="str">
        <f>"94556"</f>
        <v>94556</v>
      </c>
    </row>
    <row r="365" spans="1:15" x14ac:dyDescent="0.2">
      <c r="A365" s="1" t="s">
        <v>1698</v>
      </c>
      <c r="B365" s="1" t="s">
        <v>1699</v>
      </c>
      <c r="C365" s="1">
        <v>2</v>
      </c>
      <c r="D365" s="2">
        <v>35</v>
      </c>
      <c r="E365" s="1" t="s">
        <v>17</v>
      </c>
      <c r="F365" s="1" t="s">
        <v>1700</v>
      </c>
      <c r="G365" s="1" t="s">
        <v>19</v>
      </c>
      <c r="H365" s="3">
        <v>0.83333333333333337</v>
      </c>
      <c r="I365" s="1" t="s">
        <v>1701</v>
      </c>
      <c r="J365" s="1">
        <v>6502458444</v>
      </c>
      <c r="K365" s="1" t="s">
        <v>1702</v>
      </c>
      <c r="M365" s="1" t="s">
        <v>1153</v>
      </c>
      <c r="N365" s="1" t="s">
        <v>23</v>
      </c>
      <c r="O365" s="1" t="str">
        <f>"94403"</f>
        <v>94403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Report_TicketBuyerReport_3-18-2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Erle</dc:creator>
  <cp:lastModifiedBy>Michael Erle</cp:lastModifiedBy>
  <dcterms:created xsi:type="dcterms:W3CDTF">2024-03-18T20:00:24Z</dcterms:created>
  <dcterms:modified xsi:type="dcterms:W3CDTF">2024-03-18T20:00:24Z</dcterms:modified>
</cp:coreProperties>
</file>
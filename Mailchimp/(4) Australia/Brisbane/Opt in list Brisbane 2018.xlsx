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<sst xmlns="http://schemas.openxmlformats.org/spreadsheetml/2006/main" count="1111" uniqueCount="613">
  <si>
    <t>Account</t>
  </si>
  <si>
    <t>Full Name</t>
  </si>
  <si>
    <t>Reversed Name</t>
  </si>
  <si>
    <t>Surname</t>
  </si>
  <si>
    <t>ChristianNames</t>
  </si>
  <si>
    <t>Title</t>
  </si>
  <si>
    <t>Extra1</t>
  </si>
  <si>
    <t>Extra2</t>
  </si>
  <si>
    <t>Address</t>
  </si>
  <si>
    <t>City State</t>
  </si>
  <si>
    <t>Post Code</t>
  </si>
  <si>
    <t>Country</t>
  </si>
  <si>
    <t>Phone 1</t>
  </si>
  <si>
    <t>Phone 1 Excel</t>
  </si>
  <si>
    <t>Phone 2</t>
  </si>
  <si>
    <t>Phone 2 Excel</t>
  </si>
  <si>
    <t>Phone 3</t>
  </si>
  <si>
    <t>Phone 3 Excel</t>
  </si>
  <si>
    <t>EMail</t>
  </si>
  <si>
    <t>Can Contact</t>
  </si>
  <si>
    <t>Event</t>
  </si>
  <si>
    <t>Section</t>
  </si>
  <si>
    <t>Row</t>
  </si>
  <si>
    <t>Start Seat</t>
  </si>
  <si>
    <t>End Seat</t>
  </si>
  <si>
    <t>Num Tickets</t>
  </si>
  <si>
    <t>Price Type</t>
  </si>
  <si>
    <t>Qualifiers</t>
  </si>
  <si>
    <t>05-16577</t>
  </si>
  <si>
    <t>EDALATIAN \SHADI\\\</t>
  </si>
  <si>
    <t>SHADI EDALATIAN</t>
  </si>
  <si>
    <t>EDALATIAN</t>
  </si>
  <si>
    <t>SHADI</t>
  </si>
  <si>
    <t>38/157 DALMENY STREET</t>
  </si>
  <si>
    <t>ALGESTER QLD AU</t>
  </si>
  <si>
    <t>AU</t>
  </si>
  <si>
    <t>edalatian.shadi@gmail.com</t>
  </si>
  <si>
    <t>YES</t>
  </si>
  <si>
    <t>EQTV712</t>
  </si>
  <si>
    <t>DRS 6</t>
  </si>
  <si>
    <t>P</t>
  </si>
  <si>
    <t>ADULT</t>
  </si>
  <si>
    <t>05-16592</t>
  </si>
  <si>
    <t>NARIMISA \RAHIM\\\</t>
  </si>
  <si>
    <t>RAHIM NARIMISA</t>
  </si>
  <si>
    <t>NARIMISA</t>
  </si>
  <si>
    <t>RAHIM</t>
  </si>
  <si>
    <t>192 VERNEY ROAD EAST</t>
  </si>
  <si>
    <t>GRACEVILLE QLD AU</t>
  </si>
  <si>
    <t>rahim_narimisa@yahoo.com</t>
  </si>
  <si>
    <t>STL 1</t>
  </si>
  <si>
    <t>FF</t>
  </si>
  <si>
    <t>05-16613</t>
  </si>
  <si>
    <t>ALANJAREGHI \SAFARI\\\</t>
  </si>
  <si>
    <t>SAFARI ALANJAREGHI</t>
  </si>
  <si>
    <t>ALANJAREGHI</t>
  </si>
  <si>
    <t>SAFARI</t>
  </si>
  <si>
    <t>20 JACKSONIA DR</t>
  </si>
  <si>
    <t>SEVENTEEN MILE ROCKS QLD AU</t>
  </si>
  <si>
    <t>Roya.safari@yahoo.com</t>
  </si>
  <si>
    <t>05-16666</t>
  </si>
  <si>
    <t>MOTIEI \MOHANA\\\</t>
  </si>
  <si>
    <t>MOHANA MOTIEI</t>
  </si>
  <si>
    <t>MOTIEI</t>
  </si>
  <si>
    <t>MOHANA</t>
  </si>
  <si>
    <t>2/10 THIRD ST</t>
  </si>
  <si>
    <t>CAMP HILL QLD AU</t>
  </si>
  <si>
    <t>motiee_arc@yahoo.com</t>
  </si>
  <si>
    <t>S</t>
  </si>
  <si>
    <t>05-16673</t>
  </si>
  <si>
    <t>AZIMI \REZA\\\</t>
  </si>
  <si>
    <t>REZA AZIMI</t>
  </si>
  <si>
    <t>AZIMI</t>
  </si>
  <si>
    <t>REZA</t>
  </si>
  <si>
    <t>HORNSBY NSW AU</t>
  </si>
  <si>
    <t>reza.azimi@gmail.com</t>
  </si>
  <si>
    <t>05-16677</t>
  </si>
  <si>
    <t>HEJAZI \MARIAM\\\</t>
  </si>
  <si>
    <t>MARIAM HEJAZI</t>
  </si>
  <si>
    <t>HEJAZI</t>
  </si>
  <si>
    <t>MARIAM</t>
  </si>
  <si>
    <t>20 MIDDLETON COURT</t>
  </si>
  <si>
    <t>ALEXANDRA HILLS QLD AU</t>
  </si>
  <si>
    <t>mariamhejazi35@gmail.com</t>
  </si>
  <si>
    <t>05-16708</t>
  </si>
  <si>
    <t>GOLBABAEI \FAHIMEH\\\</t>
  </si>
  <si>
    <t>FAHIMEH GOLBABAEI</t>
  </si>
  <si>
    <t>GOLBABAEI</t>
  </si>
  <si>
    <t>FAHIMEH</t>
  </si>
  <si>
    <t>SPRINGWOOD ROAD</t>
  </si>
  <si>
    <t>ROCHEDALE SOUTH QLD AU</t>
  </si>
  <si>
    <t>f.golbabaie@yahoo.com</t>
  </si>
  <si>
    <t>05-16731</t>
  </si>
  <si>
    <t>FAZLOLLAHI \SAMIRA\\\</t>
  </si>
  <si>
    <t>SAMIRA FAZLOLLAHI</t>
  </si>
  <si>
    <t>FAZLOLLAHI</t>
  </si>
  <si>
    <t>SAMIRA</t>
  </si>
  <si>
    <t>U20807 6 MANNING ST</t>
  </si>
  <si>
    <t>MILTON QLD AU</t>
  </si>
  <si>
    <t>s_fazlollahi80@yahoo.com</t>
  </si>
  <si>
    <t>05-16735</t>
  </si>
  <si>
    <t>JALIL MODJDEHI \MAZIAR\\\</t>
  </si>
  <si>
    <t>MAZIAR JALIL MODJDEHI</t>
  </si>
  <si>
    <t>JALIL MODJDEHI</t>
  </si>
  <si>
    <t>MAZIAR</t>
  </si>
  <si>
    <t>UNIT 207 / 18 THORN STREET</t>
  </si>
  <si>
    <t>KANGAROO POINT QLD AU</t>
  </si>
  <si>
    <t>maziar_jm@yahoo.com</t>
  </si>
  <si>
    <t>E</t>
  </si>
  <si>
    <t>05-16756</t>
  </si>
  <si>
    <t>AFSHAR EBRAHIMI \BABAK\\\</t>
  </si>
  <si>
    <t>BABAK AFSHAR EBRAHIMI</t>
  </si>
  <si>
    <t>AFSHAR EBRAHIMI</t>
  </si>
  <si>
    <t>BABAK</t>
  </si>
  <si>
    <t>901/4 WAHROONGA PLACE</t>
  </si>
  <si>
    <t>SURFERS PARADISE QLD AU</t>
  </si>
  <si>
    <t>ba22se@gmail.com</t>
  </si>
  <si>
    <t>DRS 5</t>
  </si>
  <si>
    <t>05-16810</t>
  </si>
  <si>
    <t>LASHGARI \ANDISHEH\\\</t>
  </si>
  <si>
    <t>ANDISHEH LASHGARI</t>
  </si>
  <si>
    <t>LASHGARI</t>
  </si>
  <si>
    <t>ANDISHEH</t>
  </si>
  <si>
    <t>17 PIARI STREET  KENMORE</t>
  </si>
  <si>
    <t>KENMORE QLD AU</t>
  </si>
  <si>
    <t>andi.lashgari@gmail.com</t>
  </si>
  <si>
    <t>DD</t>
  </si>
  <si>
    <t>05-16833</t>
  </si>
  <si>
    <t>SHIRGIR \SANAZ\\\</t>
  </si>
  <si>
    <t>SANAZ SHIRGIR</t>
  </si>
  <si>
    <t>SHIRGIR</t>
  </si>
  <si>
    <t>SANAZ</t>
  </si>
  <si>
    <t>17 TEVIOT ST</t>
  </si>
  <si>
    <t>WARNER QLD AU</t>
  </si>
  <si>
    <t>sanaz_shirgir@yahoo.com</t>
  </si>
  <si>
    <t>J</t>
  </si>
  <si>
    <t>05-16847</t>
  </si>
  <si>
    <t>KERACHIAN \MODJTABA\\\</t>
  </si>
  <si>
    <t>MODJTABA KERACHIAN</t>
  </si>
  <si>
    <t>KERACHIAN</t>
  </si>
  <si>
    <t>MODJTABA</t>
  </si>
  <si>
    <t>1605/33 T E PETERS DRIVE</t>
  </si>
  <si>
    <t>BROADBEACH QLD AU</t>
  </si>
  <si>
    <t>kerachian_m@yahoo.com</t>
  </si>
  <si>
    <t>A</t>
  </si>
  <si>
    <t>05-16903</t>
  </si>
  <si>
    <t>AFKAR \SAMAD\\\</t>
  </si>
  <si>
    <t>SAMAD AFKAR</t>
  </si>
  <si>
    <t>AFKAR</t>
  </si>
  <si>
    <t>SAMAD</t>
  </si>
  <si>
    <t>11209 / 22 RAILWAY TERRACE</t>
  </si>
  <si>
    <t>sam.afkar@gmail.com</t>
  </si>
  <si>
    <t>05-16943</t>
  </si>
  <si>
    <t>MORADI VAJARGAH \MONA\\\</t>
  </si>
  <si>
    <t>MONA MORADI VAJARGAH</t>
  </si>
  <si>
    <t>MORADI VAJARGAH</t>
  </si>
  <si>
    <t>MONA</t>
  </si>
  <si>
    <t>2/14 ARNOTT ST</t>
  </si>
  <si>
    <t>KEDRON QLD AU</t>
  </si>
  <si>
    <t>moradi614@yahoo.com</t>
  </si>
  <si>
    <t>05-16949</t>
  </si>
  <si>
    <t>TAMATOA \SARIAH\\\</t>
  </si>
  <si>
    <t>SARIAH TAMATOA</t>
  </si>
  <si>
    <t>TAMATOA</t>
  </si>
  <si>
    <t>SARIAH</t>
  </si>
  <si>
    <t>905/2865 GOLD COAST HIGHWAY</t>
  </si>
  <si>
    <t>sariahtamatoa89@gmail.com</t>
  </si>
  <si>
    <t>EE</t>
  </si>
  <si>
    <t>05-16963</t>
  </si>
  <si>
    <t>PARVARI \ALIREZA\\\</t>
  </si>
  <si>
    <t>ALIREZA PARVARI</t>
  </si>
  <si>
    <t>PARVARI</t>
  </si>
  <si>
    <t>ALIREZA</t>
  </si>
  <si>
    <t>273/35 PALM AVENUE</t>
  </si>
  <si>
    <t>aparvari@gmail.com</t>
  </si>
  <si>
    <t>05-16982</t>
  </si>
  <si>
    <t>SEFIDANIFOROUGH \MEHDI\\\</t>
  </si>
  <si>
    <t>MEHDI SEFIDANIFOROUGH</t>
  </si>
  <si>
    <t>SEFIDANIFOROUGH</t>
  </si>
  <si>
    <t>MEHDI</t>
  </si>
  <si>
    <t>901/3400 GOLD COAST HIGHWAY</t>
  </si>
  <si>
    <t>aida.forough67@gmail.com</t>
  </si>
  <si>
    <t>05-16988</t>
  </si>
  <si>
    <t>AGHAZADEH KOHNEH \M\\\</t>
  </si>
  <si>
    <t>M AGHAZADEH KOHNEH</t>
  </si>
  <si>
    <t>AGHAZADEH KOHNEH</t>
  </si>
  <si>
    <t>M</t>
  </si>
  <si>
    <t>6 HINCHINBROOK AVE  FITZGIBBON</t>
  </si>
  <si>
    <t>FITZGIBBON QLD AU</t>
  </si>
  <si>
    <t>mahdiyeh.aghazadeh@gmail.com</t>
  </si>
  <si>
    <t>Q</t>
  </si>
  <si>
    <t>05-16989</t>
  </si>
  <si>
    <t>GHANBARIPOUR \AMIR\\\</t>
  </si>
  <si>
    <t>AMIR GHANBARIPOUR</t>
  </si>
  <si>
    <t>GHANBARIPOUR</t>
  </si>
  <si>
    <t>AMIR</t>
  </si>
  <si>
    <t>2408/3 MAIN STREET</t>
  </si>
  <si>
    <t>VARSITY LAKES QLD AU</t>
  </si>
  <si>
    <t>amir_ghpr@yahoo.com</t>
  </si>
  <si>
    <t>B</t>
  </si>
  <si>
    <t>05-17052</t>
  </si>
  <si>
    <t>GHOLAMI \ASHKAN\\\</t>
  </si>
  <si>
    <t>ASHKAN GHOLAMI</t>
  </si>
  <si>
    <t>GHOLAMI</t>
  </si>
  <si>
    <t>ASHKAN</t>
  </si>
  <si>
    <t>13/6 MYRTLE CRES</t>
  </si>
  <si>
    <t>BRIDGEMAN DOWNS QLD AU</t>
  </si>
  <si>
    <t>ashkan.gholami1990@gmail.com</t>
  </si>
  <si>
    <t>05-17138</t>
  </si>
  <si>
    <t>AGHAIE \GEMMA\\\</t>
  </si>
  <si>
    <t>GEMMA AGHAIE</t>
  </si>
  <si>
    <t>AGHAIE</t>
  </si>
  <si>
    <t>GEMMA</t>
  </si>
  <si>
    <t>33 COUGAR STREET</t>
  </si>
  <si>
    <t>INDOOROOPILLY QLD AU</t>
  </si>
  <si>
    <t>gemma.aghaie@gmail.com</t>
  </si>
  <si>
    <t>05-17249</t>
  </si>
  <si>
    <t>HEDAYATY \YASMIN\\\</t>
  </si>
  <si>
    <t>YASMIN HEDAYATY</t>
  </si>
  <si>
    <t>HEDAYATY</t>
  </si>
  <si>
    <t>YASMIN</t>
  </si>
  <si>
    <t>1043 LAKEVIEW TERRACE</t>
  </si>
  <si>
    <t>GOLD COAST QLD AU</t>
  </si>
  <si>
    <t>yhedayaty@gmail.com</t>
  </si>
  <si>
    <t>STL 3</t>
  </si>
  <si>
    <t>05-17251</t>
  </si>
  <si>
    <t>ZARRINRAD \HANIEH\\\</t>
  </si>
  <si>
    <t>HANIEH ZARRINRAD</t>
  </si>
  <si>
    <t>ZARRINRAD</t>
  </si>
  <si>
    <t>HANIEH</t>
  </si>
  <si>
    <t>21HIGHVIEW PLACE</t>
  </si>
  <si>
    <t>PARKWOOD QLD AU</t>
  </si>
  <si>
    <t>h_zarrinrad@yahoo.com.au</t>
  </si>
  <si>
    <t>05-17289</t>
  </si>
  <si>
    <t>ANDI CHELBAYANI \FERESHTEH\\\</t>
  </si>
  <si>
    <t>FERESHTEH ANDI CHELBAYANI</t>
  </si>
  <si>
    <t>ANDI CHELBAYANI</t>
  </si>
  <si>
    <t>FERESHTEH</t>
  </si>
  <si>
    <t>23A 32 SWANN RD</t>
  </si>
  <si>
    <t>TARINGA QLD AU</t>
  </si>
  <si>
    <t>angel.abdi12@gmail.com</t>
  </si>
  <si>
    <t>05-17291</t>
  </si>
  <si>
    <t>ETESAMI \HOSSEIN\\\</t>
  </si>
  <si>
    <t>HOSSEIN ETESAMI</t>
  </si>
  <si>
    <t>ETESAMI</t>
  </si>
  <si>
    <t>HOSSEIN</t>
  </si>
  <si>
    <t>4/140 BARINGA STREET</t>
  </si>
  <si>
    <t>MORNINGSIDE QLD AU</t>
  </si>
  <si>
    <t>mhetesami@gmail.com</t>
  </si>
  <si>
    <t>R</t>
  </si>
  <si>
    <t>05-17340</t>
  </si>
  <si>
    <t>JALALI \SEYED A\\\</t>
  </si>
  <si>
    <t>SEYED A JALALI</t>
  </si>
  <si>
    <t>JALALI</t>
  </si>
  <si>
    <t>SEYED A</t>
  </si>
  <si>
    <t>1312/50 HUDSON RD</t>
  </si>
  <si>
    <t>ALBION QLD AU</t>
  </si>
  <si>
    <t>amirali.jalali@gmail.com</t>
  </si>
  <si>
    <t>05-17342</t>
  </si>
  <si>
    <t>MASOUMI \SANAZ\\\</t>
  </si>
  <si>
    <t>SANAZ MASOUMI</t>
  </si>
  <si>
    <t>MASOUMI</t>
  </si>
  <si>
    <t>4 / 81 FARNELL ST</t>
  </si>
  <si>
    <t>CHERMSIDE QLD AU</t>
  </si>
  <si>
    <t>sanaz.masoumi65@gmail.com</t>
  </si>
  <si>
    <t>05-17400</t>
  </si>
  <si>
    <t>HAJARI \SARA\\\</t>
  </si>
  <si>
    <t>SARA HAJARI</t>
  </si>
  <si>
    <t>HAJARI</t>
  </si>
  <si>
    <t>SARA</t>
  </si>
  <si>
    <t>1 STEVENSON ST  GRANGE</t>
  </si>
  <si>
    <t>GRANGE QLD AU</t>
  </si>
  <si>
    <t>sara.arhajari@gmail.com</t>
  </si>
  <si>
    <t>05-17404</t>
  </si>
  <si>
    <t>05-17458</t>
  </si>
  <si>
    <t>HASHEMI \MOHAMMAD\\\</t>
  </si>
  <si>
    <t>MOHAMMAD HASHEMI</t>
  </si>
  <si>
    <t>HASHEMI</t>
  </si>
  <si>
    <t>MOHAMMAD</t>
  </si>
  <si>
    <t>572 SHERWOOD ROAD</t>
  </si>
  <si>
    <t>SHERWOOD QLD AU</t>
  </si>
  <si>
    <t>arash.hmi.86@gmail.com</t>
  </si>
  <si>
    <t>05-17461</t>
  </si>
  <si>
    <t>ISSAPOUR \REZA\\\</t>
  </si>
  <si>
    <t>REZA ISSAPOUR</t>
  </si>
  <si>
    <t>ISSAPOUR</t>
  </si>
  <si>
    <t>89/8 GOODWIN STREET</t>
  </si>
  <si>
    <t>rissapour@yahoo.com</t>
  </si>
  <si>
    <t>K</t>
  </si>
  <si>
    <t>05-17484</t>
  </si>
  <si>
    <t>RIGBY \HENGAMEH F\\\</t>
  </si>
  <si>
    <t>HENGAMEH F RIGBY</t>
  </si>
  <si>
    <t>RIGBY</t>
  </si>
  <si>
    <t>HENGAMEH F</t>
  </si>
  <si>
    <t>144 CAMBERWELL CIRCUIT</t>
  </si>
  <si>
    <t>ROBINA QLD AU</t>
  </si>
  <si>
    <t>hengi_r@yahoo.com</t>
  </si>
  <si>
    <t>05-17549</t>
  </si>
  <si>
    <t>GHOBADI AFSHAR \ALI\\\</t>
  </si>
  <si>
    <t>ALI GHOBADI AFSHAR</t>
  </si>
  <si>
    <t>GHOBADI AFSHAR</t>
  </si>
  <si>
    <t>ALI</t>
  </si>
  <si>
    <t>1/3 LORIKEET WAY</t>
  </si>
  <si>
    <t>CRESTMEAD QLD AU</t>
  </si>
  <si>
    <t>ali.g.afshar@gmail.com</t>
  </si>
  <si>
    <t>05-17582</t>
  </si>
  <si>
    <t>YAVARI \AZADEH\\\</t>
  </si>
  <si>
    <t>AZADEH YAVARI</t>
  </si>
  <si>
    <t>YAVARI</t>
  </si>
  <si>
    <t>AZADEH</t>
  </si>
  <si>
    <t>68 CREST RIDGE PARADE</t>
  </si>
  <si>
    <t>BROOKWATER QLD AU</t>
  </si>
  <si>
    <t>azadeh_ya@yahoo.com</t>
  </si>
  <si>
    <t>05-17639</t>
  </si>
  <si>
    <t>RAHBAR \MOHADESEH\\\</t>
  </si>
  <si>
    <t>MOHADESEH RAHBAR</t>
  </si>
  <si>
    <t>RAHBAR</t>
  </si>
  <si>
    <t>MOHADESEH</t>
  </si>
  <si>
    <t>3/18 VILLA ST</t>
  </si>
  <si>
    <t>ANNERLEY QLD AU</t>
  </si>
  <si>
    <t>mohadeseh.rahbar@gmail.com</t>
  </si>
  <si>
    <t>05-17650</t>
  </si>
  <si>
    <t>VAKILI \AMIN\\\</t>
  </si>
  <si>
    <t>AMIN VAKILI</t>
  </si>
  <si>
    <t>VAKILI</t>
  </si>
  <si>
    <t>AMIN</t>
  </si>
  <si>
    <t>51/21 MANNING STREET</t>
  </si>
  <si>
    <t>sharkhail@yahoo.com</t>
  </si>
  <si>
    <t>C</t>
  </si>
  <si>
    <t>05-17662</t>
  </si>
  <si>
    <t>BAGHAIE \ASHKAN\\\</t>
  </si>
  <si>
    <t>ASHKAN BAGHAIE</t>
  </si>
  <si>
    <t>BAGHAIE</t>
  </si>
  <si>
    <t>21 ARGON STREET</t>
  </si>
  <si>
    <t>SUMNER QLD AU</t>
  </si>
  <si>
    <t>ashkan64baghaie@yahoo.com</t>
  </si>
  <si>
    <t>F</t>
  </si>
  <si>
    <t>05-17673</t>
  </si>
  <si>
    <t>SINGHAL \PRADEEP\\\</t>
  </si>
  <si>
    <t>PRADEEP SINGHAL</t>
  </si>
  <si>
    <t>SINGHAL</t>
  </si>
  <si>
    <t>PRADEEP</t>
  </si>
  <si>
    <t>261 KENMORE ROAD</t>
  </si>
  <si>
    <t>FIG TREE POCKET QLD AU</t>
  </si>
  <si>
    <t>pradeep_singhal@hotmail.com</t>
  </si>
  <si>
    <t>CC</t>
  </si>
  <si>
    <t>05-17704</t>
  </si>
  <si>
    <t>TAJIK \HAMED\\\</t>
  </si>
  <si>
    <t>HAMED TAJIK</t>
  </si>
  <si>
    <t>TAJIK</t>
  </si>
  <si>
    <t>HAMED</t>
  </si>
  <si>
    <t>6 51 HOW'S ROAD</t>
  </si>
  <si>
    <t>NUNDAH QLD AU</t>
  </si>
  <si>
    <t>hamedtjk@gmail.com</t>
  </si>
  <si>
    <t>05-17721</t>
  </si>
  <si>
    <t>ARAGHIAN \MOHAMMAD\\\</t>
  </si>
  <si>
    <t>MOHAMMAD ARAGHIAN</t>
  </si>
  <si>
    <t>ARAGHIAN</t>
  </si>
  <si>
    <t>122 HAMILTON RD</t>
  </si>
  <si>
    <t>MOOROOKA QLD AU</t>
  </si>
  <si>
    <t>sahury61@yahoo.com</t>
  </si>
  <si>
    <t>05-17750</t>
  </si>
  <si>
    <t>MOGHADDAM \ARASH\\\</t>
  </si>
  <si>
    <t>ARASH MOGHADDAM</t>
  </si>
  <si>
    <t>MOGHADDAM</t>
  </si>
  <si>
    <t>ARASH</t>
  </si>
  <si>
    <t>65 ASCOT ST</t>
  </si>
  <si>
    <t>ASCOT QLD AU</t>
  </si>
  <si>
    <t>moghadam.arash@gmail.com</t>
  </si>
  <si>
    <t>GROUP15</t>
  </si>
  <si>
    <t>D</t>
  </si>
  <si>
    <t>05-17757</t>
  </si>
  <si>
    <t>HERLIHY \MARYAM\\\</t>
  </si>
  <si>
    <t>MARYAM HERLIHY</t>
  </si>
  <si>
    <t>HERLIHY</t>
  </si>
  <si>
    <t>MARYAM</t>
  </si>
  <si>
    <t>100 COTLEW STREET EAST</t>
  </si>
  <si>
    <t>SOUTHPORT QLD AU</t>
  </si>
  <si>
    <t>maryam_pm@yahoo.com</t>
  </si>
  <si>
    <t>05-17793</t>
  </si>
  <si>
    <t>SAFARI FOROUSHANI \MAZYAR\\\</t>
  </si>
  <si>
    <t>MAZYAR SAFARI FOROUSHANI</t>
  </si>
  <si>
    <t>SAFARI FOROUSHANI</t>
  </si>
  <si>
    <t>MAZYAR</t>
  </si>
  <si>
    <t>3/208 PICKERING STREET</t>
  </si>
  <si>
    <t>ENOGGERA QLD AU</t>
  </si>
  <si>
    <t>maziar_safari@yahoo.com</t>
  </si>
  <si>
    <t>L</t>
  </si>
  <si>
    <t>05-17812</t>
  </si>
  <si>
    <t>BABAEE \ELHAM\\\</t>
  </si>
  <si>
    <t>ELHAM BABAEE</t>
  </si>
  <si>
    <t>BABAEE</t>
  </si>
  <si>
    <t>ELHAM</t>
  </si>
  <si>
    <t>3A RAINWOOD STREET BRACKEN RID</t>
  </si>
  <si>
    <t>BRACKEN RIDGE QLD AU</t>
  </si>
  <si>
    <t>elham.babaee@gmail.com</t>
  </si>
  <si>
    <t>05-17860</t>
  </si>
  <si>
    <t>NOROOZI \MOHAMMAD\\\</t>
  </si>
  <si>
    <t>MOHAMMAD NOROOZI</t>
  </si>
  <si>
    <t>NOROOZI</t>
  </si>
  <si>
    <t>100 STRICKLAND TCE</t>
  </si>
  <si>
    <t>amin@amind.com.au</t>
  </si>
  <si>
    <t>05-17907</t>
  </si>
  <si>
    <t>NEKOOEE \MAHMOOD\\\</t>
  </si>
  <si>
    <t>MAHMOOD NEKOOEE</t>
  </si>
  <si>
    <t>NEKOOEE</t>
  </si>
  <si>
    <t>MAHMOOD</t>
  </si>
  <si>
    <t>21 SPRINGWATER PLACE</t>
  </si>
  <si>
    <t>manek581@yahoo.com</t>
  </si>
  <si>
    <t>AA</t>
  </si>
  <si>
    <t>05-17925</t>
  </si>
  <si>
    <t>SERVENTI \SAMIRA\\\</t>
  </si>
  <si>
    <t>SAMIRA SERVENTI</t>
  </si>
  <si>
    <t>SERVENTI</t>
  </si>
  <si>
    <t>13 CORONATA PLACE</t>
  </si>
  <si>
    <t>REEDY CREEK QLD AU</t>
  </si>
  <si>
    <t>sam200159@yahoo.com</t>
  </si>
  <si>
    <t>DRS 7</t>
  </si>
  <si>
    <t>05-17955</t>
  </si>
  <si>
    <t>NOWROUZI ESHRATABAD \TAHEREH\\</t>
  </si>
  <si>
    <t>TAHEREH NOWROUZI ESHRATABAD</t>
  </si>
  <si>
    <t>NOWROUZI ESHRATABAD</t>
  </si>
  <si>
    <t>TAHEREH</t>
  </si>
  <si>
    <t>U307-2 BARNEY STREET</t>
  </si>
  <si>
    <t>mahshaddehghany@yahoo.com</t>
  </si>
  <si>
    <t>05-17964</t>
  </si>
  <si>
    <t>SAMANI \MEHDI\\\</t>
  </si>
  <si>
    <t>MEHDI SAMANI</t>
  </si>
  <si>
    <t>SAMANI</t>
  </si>
  <si>
    <t>311/1 GRAY ST</t>
  </si>
  <si>
    <t>MRSAMANI@HOTMAIL.COM.AU</t>
  </si>
  <si>
    <t>NEW FARM QLD AU</t>
  </si>
  <si>
    <t>mrsamani@hotmail.com.au</t>
  </si>
  <si>
    <t>H</t>
  </si>
  <si>
    <t>05-17992</t>
  </si>
  <si>
    <t>MOSLEMI \VENOUS\\\</t>
  </si>
  <si>
    <t>VENOUS MOSLEMI</t>
  </si>
  <si>
    <t>MOSLEMI</t>
  </si>
  <si>
    <t>VENOUS</t>
  </si>
  <si>
    <t>3 TEA TREE ST</t>
  </si>
  <si>
    <t>HEATHWOOD QLD AU</t>
  </si>
  <si>
    <t>venous.moslemi@gmail.com</t>
  </si>
  <si>
    <t>05-18012</t>
  </si>
  <si>
    <t>GHADERI NIRI \MAHSHID\\\</t>
  </si>
  <si>
    <t>MAHSHID GHADERI NIRI</t>
  </si>
  <si>
    <t>GHADERI NIRI</t>
  </si>
  <si>
    <t>MAHSHID</t>
  </si>
  <si>
    <t>4/45 KERSLEY ROAD</t>
  </si>
  <si>
    <t>mahshid_gh20@yahoo.com</t>
  </si>
  <si>
    <t>05-18065</t>
  </si>
  <si>
    <t>MISAGHI \TARANEH\\\</t>
  </si>
  <si>
    <t>TARANEH MISAGHI</t>
  </si>
  <si>
    <t>MISAGHI</t>
  </si>
  <si>
    <t>TARANEH</t>
  </si>
  <si>
    <t>8 MEADOWLAKE DRIVE</t>
  </si>
  <si>
    <t>CARRARA QLD AU</t>
  </si>
  <si>
    <t>taraneh.misaghi@gmail.com</t>
  </si>
  <si>
    <t>05-18079</t>
  </si>
  <si>
    <t>SIMAEI \EHSAN\\\</t>
  </si>
  <si>
    <t>EHSAN SIMAEI</t>
  </si>
  <si>
    <t>SIMAEI</t>
  </si>
  <si>
    <t>EHSAN</t>
  </si>
  <si>
    <t>10/21 MICHAEL STREET</t>
  </si>
  <si>
    <t>WYNNUM WEST QLD AU</t>
  </si>
  <si>
    <t>ehsan.simaei@gmail.com</t>
  </si>
  <si>
    <t>05-18097</t>
  </si>
  <si>
    <t>MARKAZIOMIDVAR \HAMID\\\</t>
  </si>
  <si>
    <t>HAMID MARKAZIOMIDVAR</t>
  </si>
  <si>
    <t>MARKAZIOMIDVAR</t>
  </si>
  <si>
    <t>HAMID</t>
  </si>
  <si>
    <t>13 MAVERICK CL</t>
  </si>
  <si>
    <t>DONCASTER VIC AU</t>
  </si>
  <si>
    <t>kimiakiarash@outlook.com</t>
  </si>
  <si>
    <t>05-18318</t>
  </si>
  <si>
    <t>NOVIN \PANTEHA\\\</t>
  </si>
  <si>
    <t>PANTEHA NOVIN</t>
  </si>
  <si>
    <t>NOVIN</t>
  </si>
  <si>
    <t>PANTEHA</t>
  </si>
  <si>
    <t>2/38 EIGHTH AVE</t>
  </si>
  <si>
    <t>COORPAROO QLD AU</t>
  </si>
  <si>
    <t>pam@thelaserlounge.com.au</t>
  </si>
  <si>
    <t>STL 2</t>
  </si>
  <si>
    <t>05-18453</t>
  </si>
  <si>
    <t>BASHAM \SAREH\\\</t>
  </si>
  <si>
    <t>SAREH BASHAM</t>
  </si>
  <si>
    <t>BASHAM</t>
  </si>
  <si>
    <t>SAREH</t>
  </si>
  <si>
    <t>74 MARY PLEASANT DRIVE</t>
  </si>
  <si>
    <t>BIRKDALE QLD AU</t>
  </si>
  <si>
    <t>ram_masoud@yahoo.com</t>
  </si>
  <si>
    <t>05-18517</t>
  </si>
  <si>
    <t>RAHIMI \ABDOLSAHEB\\\</t>
  </si>
  <si>
    <t>ABDOLSAHEB RAHIMI</t>
  </si>
  <si>
    <t>RAHIMI</t>
  </si>
  <si>
    <t>ABDOLSAHEB</t>
  </si>
  <si>
    <t>908 LOGAN ROAD</t>
  </si>
  <si>
    <t>HOLLAND PARK WEST QLD AU</t>
  </si>
  <si>
    <t>u1062328@unail.usq.edu.au</t>
  </si>
  <si>
    <t>STL 4</t>
  </si>
  <si>
    <t>05-18574</t>
  </si>
  <si>
    <t>DIANATI \ELHAM\\\</t>
  </si>
  <si>
    <t>ELHAM DIANATI</t>
  </si>
  <si>
    <t>DIANATI</t>
  </si>
  <si>
    <t>44 MORNINGVIEW ST</t>
  </si>
  <si>
    <t>CHAPEL HILL QLD AU</t>
  </si>
  <si>
    <t>shadit7@yahoo.com</t>
  </si>
  <si>
    <t>05-18580</t>
  </si>
  <si>
    <t>MOATTAR \HALEH\\\</t>
  </si>
  <si>
    <t>HALEH MOATTAR</t>
  </si>
  <si>
    <t>MOATTAR</t>
  </si>
  <si>
    <t>HALEH</t>
  </si>
  <si>
    <t>UNIT 100  32 MACROSSAN STREET</t>
  </si>
  <si>
    <t>CBD QLD AU</t>
  </si>
  <si>
    <t>hallehm60@yahoo.com</t>
  </si>
  <si>
    <t>05-18581</t>
  </si>
  <si>
    <t>KHOBDEL \HAMID R\\\</t>
  </si>
  <si>
    <t>HAMID R KHOBDEL</t>
  </si>
  <si>
    <t>KHOBDEL</t>
  </si>
  <si>
    <t>HAMID R</t>
  </si>
  <si>
    <t>1/36 CLARE ROAD</t>
  </si>
  <si>
    <t>KINGSTON QLD AU</t>
  </si>
  <si>
    <t>hamid_khobdel@yahoo.com</t>
  </si>
  <si>
    <t>05-18664</t>
  </si>
  <si>
    <t>MAHBOOB \MARZYEH\\\</t>
  </si>
  <si>
    <t>MARZYEH MAHBOOB</t>
  </si>
  <si>
    <t>MAHBOOB</t>
  </si>
  <si>
    <t>MARZYEH</t>
  </si>
  <si>
    <t>21 PEMBRIDGE PLACE</t>
  </si>
  <si>
    <t>CARINDALE QLD AU</t>
  </si>
  <si>
    <t>maryk7783@gmail.com</t>
  </si>
  <si>
    <t>05-18666</t>
  </si>
  <si>
    <t>MAYAHINIA \SHIDEH\\\</t>
  </si>
  <si>
    <t>SHIDEH MAYAHINIA</t>
  </si>
  <si>
    <t>MAYAHINIA</t>
  </si>
  <si>
    <t>SHIDEH</t>
  </si>
  <si>
    <t>26 MURRAY ST</t>
  </si>
  <si>
    <t>sh.mayahinia@gmail.com</t>
  </si>
  <si>
    <t>05-18740</t>
  </si>
  <si>
    <t>NASEH MANESH \PEGAH\\\</t>
  </si>
  <si>
    <t>PEGAH NASEH MANESH</t>
  </si>
  <si>
    <t>NASEH MANESH</t>
  </si>
  <si>
    <t>PEGAH</t>
  </si>
  <si>
    <t>8 HONOUR PL</t>
  </si>
  <si>
    <t>pegah_naseh@yahoo.com</t>
  </si>
  <si>
    <t>BB</t>
  </si>
  <si>
    <t>05-18863</t>
  </si>
  <si>
    <t>BAHRAMPOUR \PAYAM\\\</t>
  </si>
  <si>
    <t>PAYAM BAHRAMPOUR</t>
  </si>
  <si>
    <t>BAHRAMPOUR</t>
  </si>
  <si>
    <t>PAYAM</t>
  </si>
  <si>
    <t>503 32-36 GONZALES STREET</t>
  </si>
  <si>
    <t>MACGREGOR QLD AU</t>
  </si>
  <si>
    <t>ako.bahrampoor@gmail.com</t>
  </si>
  <si>
    <t>05-18885</t>
  </si>
  <si>
    <t>DAROUEI \HESAM\\\</t>
  </si>
  <si>
    <t>HESAM DAROUEI</t>
  </si>
  <si>
    <t>DAROUEI</t>
  </si>
  <si>
    <t>HESAM</t>
  </si>
  <si>
    <t>23 CEDARLEIGH ROAD</t>
  </si>
  <si>
    <t>hesam1111@gmail.com</t>
  </si>
  <si>
    <t>05-18914</t>
  </si>
  <si>
    <t>TALEBI \ELAHEH\\\</t>
  </si>
  <si>
    <t>ELAHEH TALEBI</t>
  </si>
  <si>
    <t>TALEBI</t>
  </si>
  <si>
    <t>ELAHEH</t>
  </si>
  <si>
    <t>2 BUSHLARK COURT</t>
  </si>
  <si>
    <t>BELLBOWRIE QLD AU</t>
  </si>
  <si>
    <t>elahehtalebi65@gmail.com</t>
  </si>
  <si>
    <t>05-18938</t>
  </si>
  <si>
    <t>05-18950</t>
  </si>
  <si>
    <t>ALAVI MOGHADDAM \TANIN\\\</t>
  </si>
  <si>
    <t>TANIN ALAVI MOGHADDAM</t>
  </si>
  <si>
    <t>ALAVI MOGHADDAM</t>
  </si>
  <si>
    <t>TANIN</t>
  </si>
  <si>
    <t>2/57 NICKLIN STREET</t>
  </si>
  <si>
    <t>tanin_seagirl09@yahoo.com</t>
  </si>
  <si>
    <t>05-18965</t>
  </si>
  <si>
    <t>BEHDARI \MARYAM\\\</t>
  </si>
  <si>
    <t>MARYAM BEHDARI</t>
  </si>
  <si>
    <t>BEHDARI</t>
  </si>
  <si>
    <t>19A SCOTT AVENUE</t>
  </si>
  <si>
    <t>CLOVELLY PARK SA AU</t>
  </si>
  <si>
    <t>zahra.saberiasl@yahoo.com</t>
  </si>
  <si>
    <t>05-18981</t>
  </si>
  <si>
    <t>05-18987</t>
  </si>
  <si>
    <t>SABERI ASL \ZAHRA\\\</t>
  </si>
  <si>
    <t>ZAHRA SABERI ASL</t>
  </si>
  <si>
    <t>SABERI ASL</t>
  </si>
  <si>
    <t>ZAHRA</t>
  </si>
  <si>
    <t>05-18988</t>
  </si>
  <si>
    <t>MOHTAJ \NIKTA\\\</t>
  </si>
  <si>
    <t>NIKTA MOHTAJ</t>
  </si>
  <si>
    <t>MOHTAJ</t>
  </si>
  <si>
    <t>NIKTA</t>
  </si>
  <si>
    <t>13 ELISE PL</t>
  </si>
  <si>
    <t>SINNAMONPARK QLD AU</t>
  </si>
  <si>
    <t>niktamohtaj@gmail.com</t>
  </si>
  <si>
    <t>05-18993</t>
  </si>
  <si>
    <t>KHEZRI \NAZANIN\\\</t>
  </si>
  <si>
    <t>NAZANIN KHEZRI</t>
  </si>
  <si>
    <t>KHEZRI</t>
  </si>
  <si>
    <t>NAZANIN</t>
  </si>
  <si>
    <t>32 14 PALTARRA STREET</t>
  </si>
  <si>
    <t>THE GAP QLD AU</t>
  </si>
  <si>
    <t>nazanin1359@yahoo.com</t>
  </si>
  <si>
    <t>05-18995</t>
  </si>
  <si>
    <t>KASHEFIZADEH \FATEMEH\\\</t>
  </si>
  <si>
    <t>FATEMEH KASHEFIZADEH</t>
  </si>
  <si>
    <t>KASHEFIZADEH</t>
  </si>
  <si>
    <t>FATEMEH</t>
  </si>
  <si>
    <t>3 PANDOREA CLOSE</t>
  </si>
  <si>
    <t>shayanronagh@gmail.com</t>
  </si>
  <si>
    <t>05-19046,AUS,TIV602,12-JUL-2018,,,,,,,,,,,,,="",,="",,="",,NO,,pci.venue.au,,,EQTV712,,3,STL 1,2,TIV602,12-JUL-2018,G,18,18,1,COMP,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</si>
</sst>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5.0"/>
    <col customWidth="1" min="2" max="2" width="35.11"/>
    <col customWidth="1" min="3" max="3" width="32.44"/>
    <col customWidth="1" min="4" max="4" width="23.67"/>
    <col customWidth="1" min="5" max="5" width="15.11"/>
    <col customWidth="1" min="6" max="6" width="5.0"/>
    <col customWidth="1" min="7" max="7" width="13.44"/>
    <col customWidth="1" min="8" max="8" width="6.44"/>
    <col customWidth="1" min="9" max="9" width="33.44"/>
    <col customWidth="1" min="10" max="10" width="29.67"/>
    <col customWidth="1" min="11" max="11" width="9.78"/>
    <col customWidth="1" min="12" max="12" width="8.0"/>
    <col customWidth="1" min="13" max="13" width="11.0"/>
    <col customWidth="1" min="14" max="14" width="13.33"/>
    <col customWidth="1" min="15" max="15" width="8.11"/>
    <col customWidth="1" min="16" max="16" width="13.33"/>
    <col customWidth="1" min="17" max="17" width="12.0"/>
    <col customWidth="1" min="18" max="18" width="13.33"/>
    <col customWidth="1" min="19" max="19" width="31.44"/>
    <col customWidth="1" min="20" max="20" width="11.44"/>
    <col customWidth="1" min="21" max="21" width="8.67"/>
    <col customWidth="1" min="22" max="22" width="7.44"/>
    <col customWidth="1" min="23" max="23" width="4.78"/>
    <col customWidth="1" min="24" max="24" width="9.44"/>
    <col customWidth="1" min="25" max="25" width="8.44"/>
    <col customWidth="1" min="26" max="26" width="11.78"/>
    <col customWidth="1" min="27" max="27" width="10.11"/>
    <col customWidth="1" min="28" max="28" width="9.67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ht="15.75" customHeight="1">
      <c r="A2" s="1" t="s">
        <v>28</v>
      </c>
      <c r="B2" s="1" t="s">
        <v>29</v>
      </c>
      <c r="C2" s="1" t="s">
        <v>30</v>
      </c>
      <c r="D2" s="1" t="s">
        <v>31</v>
      </c>
      <c r="E2" s="1" t="s">
        <v>32</v>
      </c>
      <c r="I2" s="1" t="s">
        <v>33</v>
      </c>
      <c r="J2" s="1" t="s">
        <v>34</v>
      </c>
      <c r="K2" s="1">
        <v>4115.0</v>
      </c>
      <c r="L2" s="1" t="s">
        <v>35</v>
      </c>
      <c r="M2" s="1">
        <v>4.20414571E8</v>
      </c>
      <c r="N2" s="1" t="str">
        <f>"420414571"</f>
        <v>420414571</v>
      </c>
      <c r="P2" s="1" t="str">
        <f t="shared" ref="P2:P17" si="1">""</f>
        <v/>
      </c>
      <c r="Q2" s="1">
        <v>4.20414571E8</v>
      </c>
      <c r="R2" s="1" t="str">
        <f>"0420414571"</f>
        <v>0420414571</v>
      </c>
      <c r="S2" s="1" t="s">
        <v>36</v>
      </c>
      <c r="T2" s="1" t="s">
        <v>37</v>
      </c>
      <c r="U2" s="1" t="s">
        <v>38</v>
      </c>
      <c r="V2" s="1" t="s">
        <v>39</v>
      </c>
      <c r="W2" s="1" t="s">
        <v>40</v>
      </c>
      <c r="X2" s="1">
        <v>19.0</v>
      </c>
      <c r="Y2" s="1">
        <v>20.0</v>
      </c>
      <c r="Z2" s="1">
        <v>2.0</v>
      </c>
      <c r="AA2" s="1" t="s">
        <v>41</v>
      </c>
    </row>
    <row r="3" ht="15.75" customHeight="1">
      <c r="A3" s="1" t="s">
        <v>42</v>
      </c>
      <c r="B3" s="1" t="s">
        <v>43</v>
      </c>
      <c r="C3" s="1" t="s">
        <v>44</v>
      </c>
      <c r="D3" s="1" t="s">
        <v>45</v>
      </c>
      <c r="E3" s="1" t="s">
        <v>46</v>
      </c>
      <c r="I3" s="1" t="s">
        <v>47</v>
      </c>
      <c r="J3" s="1" t="s">
        <v>48</v>
      </c>
      <c r="K3" s="1">
        <v>4075.0</v>
      </c>
      <c r="L3" s="1" t="s">
        <v>35</v>
      </c>
      <c r="M3" s="1">
        <v>4.6914392E8</v>
      </c>
      <c r="N3" s="1" t="str">
        <f>"469143920"</f>
        <v>469143920</v>
      </c>
      <c r="P3" s="1" t="str">
        <f t="shared" si="1"/>
        <v/>
      </c>
      <c r="R3" s="1" t="str">
        <f t="shared" ref="R3:R4" si="2">""</f>
        <v/>
      </c>
      <c r="S3" s="1" t="s">
        <v>49</v>
      </c>
      <c r="T3" s="1" t="s">
        <v>37</v>
      </c>
      <c r="U3" s="1" t="s">
        <v>38</v>
      </c>
      <c r="V3" s="1" t="s">
        <v>50</v>
      </c>
      <c r="W3" s="1" t="s">
        <v>51</v>
      </c>
      <c r="X3" s="1">
        <v>15.0</v>
      </c>
      <c r="Y3" s="1">
        <v>16.0</v>
      </c>
      <c r="Z3" s="1">
        <v>2.0</v>
      </c>
      <c r="AA3" s="1" t="s">
        <v>41</v>
      </c>
    </row>
    <row r="4" ht="15.75" customHeight="1">
      <c r="A4" s="1" t="s">
        <v>52</v>
      </c>
      <c r="B4" s="1" t="s">
        <v>53</v>
      </c>
      <c r="C4" s="1" t="s">
        <v>54</v>
      </c>
      <c r="D4" s="1" t="s">
        <v>55</v>
      </c>
      <c r="E4" s="1" t="s">
        <v>56</v>
      </c>
      <c r="I4" s="1" t="s">
        <v>57</v>
      </c>
      <c r="J4" s="1" t="s">
        <v>58</v>
      </c>
      <c r="K4" s="1">
        <v>4073.0</v>
      </c>
      <c r="L4" s="1" t="s">
        <v>35</v>
      </c>
      <c r="M4" s="1">
        <v>4.50146957E8</v>
      </c>
      <c r="N4" s="1" t="str">
        <f>"450146957"</f>
        <v>450146957</v>
      </c>
      <c r="P4" s="1" t="str">
        <f t="shared" si="1"/>
        <v/>
      </c>
      <c r="R4" s="1" t="str">
        <f t="shared" si="2"/>
        <v/>
      </c>
      <c r="S4" s="1" t="s">
        <v>59</v>
      </c>
      <c r="T4" s="1" t="s">
        <v>37</v>
      </c>
      <c r="U4" s="1" t="s">
        <v>38</v>
      </c>
      <c r="V4" s="1" t="s">
        <v>39</v>
      </c>
      <c r="W4" s="1" t="s">
        <v>40</v>
      </c>
      <c r="X4" s="1">
        <v>23.0</v>
      </c>
      <c r="Y4" s="1">
        <v>25.0</v>
      </c>
      <c r="Z4" s="1">
        <v>3.0</v>
      </c>
      <c r="AA4" s="1" t="s">
        <v>41</v>
      </c>
    </row>
    <row r="5" ht="15.75" customHeight="1">
      <c r="A5" s="1" t="s">
        <v>60</v>
      </c>
      <c r="B5" s="1" t="s">
        <v>61</v>
      </c>
      <c r="C5" s="1" t="s">
        <v>62</v>
      </c>
      <c r="D5" s="1" t="s">
        <v>63</v>
      </c>
      <c r="E5" s="1" t="s">
        <v>64</v>
      </c>
      <c r="I5" s="1" t="s">
        <v>65</v>
      </c>
      <c r="J5" s="1" t="s">
        <v>66</v>
      </c>
      <c r="K5" s="1">
        <v>4152.0</v>
      </c>
      <c r="L5" s="1" t="s">
        <v>35</v>
      </c>
      <c r="M5" s="1">
        <v>4.35030838E8</v>
      </c>
      <c r="N5" s="1" t="str">
        <f>"435030838"</f>
        <v>435030838</v>
      </c>
      <c r="P5" s="1" t="str">
        <f t="shared" si="1"/>
        <v/>
      </c>
      <c r="Q5" s="1">
        <v>4.35030838E8</v>
      </c>
      <c r="R5" s="1" t="str">
        <f>"0435030838"</f>
        <v>0435030838</v>
      </c>
      <c r="S5" s="1" t="s">
        <v>67</v>
      </c>
      <c r="T5" s="1" t="s">
        <v>37</v>
      </c>
      <c r="U5" s="1" t="s">
        <v>38</v>
      </c>
      <c r="V5" s="1" t="s">
        <v>39</v>
      </c>
      <c r="W5" s="1" t="s">
        <v>68</v>
      </c>
      <c r="X5" s="1">
        <v>18.0</v>
      </c>
      <c r="Y5" s="1">
        <v>21.0</v>
      </c>
      <c r="Z5" s="1">
        <v>4.0</v>
      </c>
      <c r="AA5" s="1" t="s">
        <v>41</v>
      </c>
    </row>
    <row r="6" ht="15.75" customHeight="1">
      <c r="A6" s="1" t="s">
        <v>69</v>
      </c>
      <c r="B6" s="1" t="s">
        <v>70</v>
      </c>
      <c r="C6" s="1" t="s">
        <v>71</v>
      </c>
      <c r="D6" s="1" t="s">
        <v>72</v>
      </c>
      <c r="E6" s="1" t="s">
        <v>73</v>
      </c>
      <c r="I6" s="1" t="s">
        <v>72</v>
      </c>
      <c r="J6" s="1" t="s">
        <v>74</v>
      </c>
      <c r="K6" s="1">
        <v>2077.0</v>
      </c>
      <c r="L6" s="1" t="s">
        <v>35</v>
      </c>
      <c r="M6" s="1">
        <v>4.35000555E8</v>
      </c>
      <c r="N6" s="1" t="str">
        <f>"435000555"</f>
        <v>435000555</v>
      </c>
      <c r="P6" s="1" t="str">
        <f t="shared" si="1"/>
        <v/>
      </c>
      <c r="Q6" s="1">
        <v>4.35000555E8</v>
      </c>
      <c r="R6" s="1" t="str">
        <f>"0435000555"</f>
        <v>0435000555</v>
      </c>
      <c r="S6" s="1" t="s">
        <v>75</v>
      </c>
      <c r="T6" s="1" t="s">
        <v>37</v>
      </c>
      <c r="U6" s="1" t="s">
        <v>38</v>
      </c>
      <c r="V6" s="1" t="s">
        <v>50</v>
      </c>
      <c r="W6" s="1" t="s">
        <v>51</v>
      </c>
      <c r="X6" s="1">
        <v>23.0</v>
      </c>
      <c r="Y6" s="1">
        <v>26.0</v>
      </c>
      <c r="Z6" s="1">
        <v>4.0</v>
      </c>
      <c r="AA6" s="1" t="s">
        <v>41</v>
      </c>
    </row>
    <row r="7" ht="15.75" customHeight="1">
      <c r="A7" s="1" t="s">
        <v>76</v>
      </c>
      <c r="B7" s="1" t="s">
        <v>77</v>
      </c>
      <c r="C7" s="1" t="s">
        <v>78</v>
      </c>
      <c r="D7" s="1" t="s">
        <v>79</v>
      </c>
      <c r="E7" s="1" t="s">
        <v>80</v>
      </c>
      <c r="I7" s="1" t="s">
        <v>81</v>
      </c>
      <c r="J7" s="1" t="s">
        <v>82</v>
      </c>
      <c r="K7" s="1">
        <v>4161.0</v>
      </c>
      <c r="L7" s="1" t="s">
        <v>35</v>
      </c>
      <c r="M7" s="1">
        <v>4.01967912E8</v>
      </c>
      <c r="N7" s="1" t="str">
        <f>"401967912"</f>
        <v>401967912</v>
      </c>
      <c r="P7" s="1" t="str">
        <f t="shared" si="1"/>
        <v/>
      </c>
      <c r="R7" s="1" t="str">
        <f t="shared" ref="R7:R11" si="3">""</f>
        <v/>
      </c>
      <c r="S7" s="1" t="s">
        <v>83</v>
      </c>
      <c r="T7" s="1" t="s">
        <v>37</v>
      </c>
      <c r="U7" s="1" t="s">
        <v>38</v>
      </c>
      <c r="V7" s="1" t="s">
        <v>39</v>
      </c>
      <c r="W7" s="1" t="s">
        <v>68</v>
      </c>
      <c r="X7" s="1">
        <v>22.0</v>
      </c>
      <c r="Y7" s="1">
        <v>22.0</v>
      </c>
      <c r="Z7" s="1">
        <v>1.0</v>
      </c>
      <c r="AA7" s="1" t="s">
        <v>41</v>
      </c>
    </row>
    <row r="8" ht="15.75" customHeight="1">
      <c r="A8" s="1" t="s">
        <v>84</v>
      </c>
      <c r="B8" s="1" t="s">
        <v>85</v>
      </c>
      <c r="C8" s="1" t="s">
        <v>86</v>
      </c>
      <c r="D8" s="1" t="s">
        <v>87</v>
      </c>
      <c r="E8" s="1" t="s">
        <v>88</v>
      </c>
      <c r="I8" s="1" t="s">
        <v>89</v>
      </c>
      <c r="J8" s="1" t="s">
        <v>90</v>
      </c>
      <c r="K8" s="1">
        <v>4123.0</v>
      </c>
      <c r="L8" s="1" t="s">
        <v>35</v>
      </c>
      <c r="M8" s="1">
        <v>4.22458158E8</v>
      </c>
      <c r="N8" s="1" t="str">
        <f>"422458158"</f>
        <v>422458158</v>
      </c>
      <c r="P8" s="1" t="str">
        <f t="shared" si="1"/>
        <v/>
      </c>
      <c r="R8" s="1" t="str">
        <f t="shared" si="3"/>
        <v/>
      </c>
      <c r="S8" s="1" t="s">
        <v>91</v>
      </c>
      <c r="T8" s="1" t="s">
        <v>37</v>
      </c>
      <c r="U8" s="1" t="s">
        <v>38</v>
      </c>
      <c r="V8" s="1" t="s">
        <v>39</v>
      </c>
      <c r="W8" s="1" t="s">
        <v>68</v>
      </c>
      <c r="X8" s="1">
        <v>23.0</v>
      </c>
      <c r="Y8" s="1">
        <v>23.0</v>
      </c>
      <c r="Z8" s="1">
        <v>1.0</v>
      </c>
      <c r="AA8" s="1" t="s">
        <v>41</v>
      </c>
    </row>
    <row r="9" ht="15.75" customHeight="1">
      <c r="A9" s="1" t="s">
        <v>92</v>
      </c>
      <c r="B9" s="1" t="s">
        <v>93</v>
      </c>
      <c r="C9" s="1" t="s">
        <v>94</v>
      </c>
      <c r="D9" s="1" t="s">
        <v>95</v>
      </c>
      <c r="E9" s="1" t="s">
        <v>96</v>
      </c>
      <c r="I9" s="1" t="s">
        <v>97</v>
      </c>
      <c r="J9" s="1" t="s">
        <v>98</v>
      </c>
      <c r="K9" s="1">
        <v>4064.0</v>
      </c>
      <c r="L9" s="1" t="s">
        <v>35</v>
      </c>
      <c r="M9" s="1">
        <v>4.2493495E8</v>
      </c>
      <c r="N9" s="1" t="str">
        <f>"424934950"</f>
        <v>424934950</v>
      </c>
      <c r="P9" s="1" t="str">
        <f t="shared" si="1"/>
        <v/>
      </c>
      <c r="R9" s="1" t="str">
        <f t="shared" si="3"/>
        <v/>
      </c>
      <c r="S9" s="1" t="s">
        <v>99</v>
      </c>
      <c r="T9" s="1" t="s">
        <v>37</v>
      </c>
      <c r="U9" s="1" t="s">
        <v>38</v>
      </c>
      <c r="V9" s="1" t="s">
        <v>39</v>
      </c>
      <c r="W9" s="1" t="s">
        <v>40</v>
      </c>
      <c r="X9" s="1">
        <v>17.0</v>
      </c>
      <c r="Y9" s="1">
        <v>17.0</v>
      </c>
      <c r="Z9" s="1">
        <v>1.0</v>
      </c>
      <c r="AA9" s="1" t="s">
        <v>41</v>
      </c>
    </row>
    <row r="10" ht="15.75" customHeight="1">
      <c r="A10" s="1" t="s">
        <v>100</v>
      </c>
      <c r="B10" s="1" t="s">
        <v>101</v>
      </c>
      <c r="C10" s="1" t="s">
        <v>102</v>
      </c>
      <c r="D10" s="1" t="s">
        <v>103</v>
      </c>
      <c r="E10" s="1" t="s">
        <v>104</v>
      </c>
      <c r="I10" s="1" t="s">
        <v>105</v>
      </c>
      <c r="J10" s="1" t="s">
        <v>106</v>
      </c>
      <c r="K10" s="1">
        <v>4169.0</v>
      </c>
      <c r="L10" s="1" t="s">
        <v>35</v>
      </c>
      <c r="M10" s="1">
        <v>4.16956926E8</v>
      </c>
      <c r="N10" s="1" t="str">
        <f>"416956926"</f>
        <v>416956926</v>
      </c>
      <c r="P10" s="1" t="str">
        <f t="shared" si="1"/>
        <v/>
      </c>
      <c r="R10" s="1" t="str">
        <f t="shared" si="3"/>
        <v/>
      </c>
      <c r="S10" s="1" t="s">
        <v>107</v>
      </c>
      <c r="T10" s="1" t="s">
        <v>37</v>
      </c>
      <c r="U10" s="1" t="s">
        <v>38</v>
      </c>
      <c r="V10" s="1" t="s">
        <v>50</v>
      </c>
      <c r="W10" s="1" t="s">
        <v>108</v>
      </c>
      <c r="X10" s="1">
        <v>21.0</v>
      </c>
      <c r="Y10" s="1">
        <v>24.0</v>
      </c>
      <c r="Z10" s="1">
        <v>4.0</v>
      </c>
      <c r="AA10" s="1" t="s">
        <v>41</v>
      </c>
    </row>
    <row r="11" ht="15.75" customHeight="1">
      <c r="A11" s="1" t="s">
        <v>109</v>
      </c>
      <c r="B11" s="1" t="s">
        <v>110</v>
      </c>
      <c r="C11" s="1" t="s">
        <v>111</v>
      </c>
      <c r="D11" s="1" t="s">
        <v>112</v>
      </c>
      <c r="E11" s="1" t="s">
        <v>113</v>
      </c>
      <c r="I11" s="1" t="s">
        <v>114</v>
      </c>
      <c r="J11" s="1" t="s">
        <v>115</v>
      </c>
      <c r="K11" s="1">
        <v>4217.0</v>
      </c>
      <c r="L11" s="1" t="s">
        <v>35</v>
      </c>
      <c r="M11" s="1">
        <v>4.29004377E8</v>
      </c>
      <c r="N11" s="1" t="str">
        <f>"429004377"</f>
        <v>429004377</v>
      </c>
      <c r="P11" s="1" t="str">
        <f t="shared" si="1"/>
        <v/>
      </c>
      <c r="R11" s="1" t="str">
        <f t="shared" si="3"/>
        <v/>
      </c>
      <c r="S11" s="1" t="s">
        <v>116</v>
      </c>
      <c r="T11" s="1" t="s">
        <v>37</v>
      </c>
      <c r="U11" s="1" t="s">
        <v>38</v>
      </c>
      <c r="V11" s="1" t="s">
        <v>117</v>
      </c>
      <c r="W11" s="1" t="s">
        <v>108</v>
      </c>
      <c r="X11" s="1">
        <v>31.0</v>
      </c>
      <c r="Y11" s="1">
        <v>32.0</v>
      </c>
      <c r="Z11" s="1">
        <v>2.0</v>
      </c>
      <c r="AA11" s="1" t="s">
        <v>41</v>
      </c>
    </row>
    <row r="12" ht="15.75" customHeight="1">
      <c r="A12" s="1" t="s">
        <v>118</v>
      </c>
      <c r="B12" s="1" t="s">
        <v>119</v>
      </c>
      <c r="C12" s="1" t="s">
        <v>120</v>
      </c>
      <c r="D12" s="1" t="s">
        <v>121</v>
      </c>
      <c r="E12" s="1" t="s">
        <v>122</v>
      </c>
      <c r="I12" s="1" t="s">
        <v>123</v>
      </c>
      <c r="J12" s="1" t="s">
        <v>124</v>
      </c>
      <c r="K12" s="1">
        <v>4069.0</v>
      </c>
      <c r="L12" s="1" t="s">
        <v>35</v>
      </c>
      <c r="M12" s="1">
        <v>4.59640917E8</v>
      </c>
      <c r="N12" s="1" t="str">
        <f>"459640917"</f>
        <v>459640917</v>
      </c>
      <c r="P12" s="1" t="str">
        <f t="shared" si="1"/>
        <v/>
      </c>
      <c r="Q12" s="1">
        <v>4.24833553E8</v>
      </c>
      <c r="R12" s="1" t="str">
        <f>"0424833553"</f>
        <v>0424833553</v>
      </c>
      <c r="S12" s="1" t="s">
        <v>125</v>
      </c>
      <c r="T12" s="1" t="s">
        <v>37</v>
      </c>
      <c r="U12" s="1" t="s">
        <v>38</v>
      </c>
      <c r="V12" s="1" t="s">
        <v>50</v>
      </c>
      <c r="W12" s="1" t="s">
        <v>126</v>
      </c>
      <c r="X12" s="1">
        <v>16.0</v>
      </c>
      <c r="Y12" s="1">
        <v>18.0</v>
      </c>
      <c r="Z12" s="1">
        <v>3.0</v>
      </c>
      <c r="AA12" s="1" t="s">
        <v>41</v>
      </c>
    </row>
    <row r="13" ht="15.75" customHeight="1">
      <c r="A13" s="1" t="s">
        <v>127</v>
      </c>
      <c r="B13" s="1" t="s">
        <v>128</v>
      </c>
      <c r="C13" s="1" t="s">
        <v>129</v>
      </c>
      <c r="D13" s="1" t="s">
        <v>130</v>
      </c>
      <c r="E13" s="1" t="s">
        <v>131</v>
      </c>
      <c r="I13" s="1" t="s">
        <v>132</v>
      </c>
      <c r="J13" s="1" t="s">
        <v>133</v>
      </c>
      <c r="K13" s="1">
        <v>4500.0</v>
      </c>
      <c r="L13" s="1" t="s">
        <v>35</v>
      </c>
      <c r="M13" s="1">
        <v>4.3268374E8</v>
      </c>
      <c r="N13" s="1" t="str">
        <f>"432683740"</f>
        <v>432683740</v>
      </c>
      <c r="P13" s="1" t="str">
        <f t="shared" si="1"/>
        <v/>
      </c>
      <c r="R13" s="1" t="str">
        <f>""</f>
        <v/>
      </c>
      <c r="S13" s="1" t="s">
        <v>134</v>
      </c>
      <c r="T13" s="1" t="s">
        <v>37</v>
      </c>
      <c r="U13" s="1" t="s">
        <v>38</v>
      </c>
      <c r="V13" s="1" t="s">
        <v>50</v>
      </c>
      <c r="W13" s="1" t="s">
        <v>135</v>
      </c>
      <c r="X13" s="1">
        <v>15.0</v>
      </c>
      <c r="Y13" s="1">
        <v>18.0</v>
      </c>
      <c r="Z13" s="1">
        <v>4.0</v>
      </c>
      <c r="AA13" s="1" t="s">
        <v>41</v>
      </c>
    </row>
    <row r="14" ht="15.75" customHeight="1">
      <c r="A14" s="1" t="s">
        <v>136</v>
      </c>
      <c r="B14" s="1" t="s">
        <v>137</v>
      </c>
      <c r="C14" s="1" t="s">
        <v>138</v>
      </c>
      <c r="D14" s="1" t="s">
        <v>139</v>
      </c>
      <c r="E14" s="1" t="s">
        <v>140</v>
      </c>
      <c r="I14" s="1" t="s">
        <v>141</v>
      </c>
      <c r="J14" s="1" t="s">
        <v>142</v>
      </c>
      <c r="K14" s="1">
        <v>4218.0</v>
      </c>
      <c r="L14" s="1" t="s">
        <v>35</v>
      </c>
      <c r="M14" s="1">
        <v>4.1422434E8</v>
      </c>
      <c r="N14" s="1" t="str">
        <f>"414224340"</f>
        <v>414224340</v>
      </c>
      <c r="P14" s="1" t="str">
        <f t="shared" si="1"/>
        <v/>
      </c>
      <c r="Q14" s="1">
        <v>6.141422434E10</v>
      </c>
      <c r="R14" s="1" t="str">
        <f>"61414224340"</f>
        <v>61414224340</v>
      </c>
      <c r="S14" s="1" t="s">
        <v>143</v>
      </c>
      <c r="T14" s="1" t="s">
        <v>37</v>
      </c>
      <c r="U14" s="1" t="s">
        <v>38</v>
      </c>
      <c r="V14" s="1" t="s">
        <v>50</v>
      </c>
      <c r="W14" s="1" t="s">
        <v>144</v>
      </c>
      <c r="X14" s="1">
        <v>21.0</v>
      </c>
      <c r="Y14" s="1">
        <v>22.0</v>
      </c>
      <c r="Z14" s="1">
        <v>2.0</v>
      </c>
      <c r="AA14" s="1" t="s">
        <v>41</v>
      </c>
    </row>
    <row r="15" ht="15.75" customHeight="1">
      <c r="A15" s="1" t="s">
        <v>145</v>
      </c>
      <c r="B15" s="1" t="s">
        <v>146</v>
      </c>
      <c r="C15" s="1" t="s">
        <v>147</v>
      </c>
      <c r="D15" s="1" t="s">
        <v>148</v>
      </c>
      <c r="E15" s="1" t="s">
        <v>149</v>
      </c>
      <c r="I15" s="1" t="s">
        <v>150</v>
      </c>
      <c r="J15" s="1" t="s">
        <v>98</v>
      </c>
      <c r="K15" s="1">
        <v>4064.0</v>
      </c>
      <c r="L15" s="1" t="s">
        <v>35</v>
      </c>
      <c r="M15" s="1">
        <v>4.52505658E8</v>
      </c>
      <c r="N15" s="1" t="str">
        <f>"452505658"</f>
        <v>452505658</v>
      </c>
      <c r="P15" s="1" t="str">
        <f t="shared" si="1"/>
        <v/>
      </c>
      <c r="Q15" s="1">
        <v>4.52505658E8</v>
      </c>
      <c r="R15" s="1" t="str">
        <f>"0452505658"</f>
        <v>0452505658</v>
      </c>
      <c r="S15" s="1" t="s">
        <v>151</v>
      </c>
      <c r="T15" s="1" t="s">
        <v>37</v>
      </c>
      <c r="U15" s="1" t="s">
        <v>38</v>
      </c>
      <c r="V15" s="1" t="s">
        <v>117</v>
      </c>
      <c r="W15" s="1" t="s">
        <v>144</v>
      </c>
      <c r="X15" s="1">
        <v>31.0</v>
      </c>
      <c r="Y15" s="1">
        <v>32.0</v>
      </c>
      <c r="Z15" s="1">
        <v>2.0</v>
      </c>
      <c r="AA15" s="1" t="s">
        <v>41</v>
      </c>
    </row>
    <row r="16" ht="15.75" customHeight="1">
      <c r="A16" s="1" t="s">
        <v>152</v>
      </c>
      <c r="B16" s="1" t="s">
        <v>153</v>
      </c>
      <c r="C16" s="1" t="s">
        <v>154</v>
      </c>
      <c r="D16" s="1" t="s">
        <v>155</v>
      </c>
      <c r="E16" s="1" t="s">
        <v>156</v>
      </c>
      <c r="I16" s="1" t="s">
        <v>157</v>
      </c>
      <c r="J16" s="1" t="s">
        <v>158</v>
      </c>
      <c r="K16" s="1">
        <v>4031.0</v>
      </c>
      <c r="L16" s="1" t="s">
        <v>35</v>
      </c>
      <c r="M16" s="1">
        <v>4.31691188E8</v>
      </c>
      <c r="N16" s="1" t="str">
        <f>"431691188"</f>
        <v>431691188</v>
      </c>
      <c r="P16" s="1" t="str">
        <f t="shared" si="1"/>
        <v/>
      </c>
      <c r="Q16" s="1">
        <v>4.31691188E8</v>
      </c>
      <c r="R16" s="1" t="str">
        <f>"0431691188"</f>
        <v>0431691188</v>
      </c>
      <c r="S16" s="1" t="s">
        <v>159</v>
      </c>
      <c r="T16" s="1" t="s">
        <v>37</v>
      </c>
      <c r="U16" s="1" t="s">
        <v>38</v>
      </c>
      <c r="V16" s="1" t="s">
        <v>39</v>
      </c>
      <c r="W16" s="1" t="s">
        <v>40</v>
      </c>
      <c r="X16" s="1">
        <v>18.0</v>
      </c>
      <c r="Y16" s="1">
        <v>18.0</v>
      </c>
      <c r="Z16" s="1">
        <v>1.0</v>
      </c>
      <c r="AA16" s="1" t="s">
        <v>41</v>
      </c>
    </row>
    <row r="17" ht="15.75" customHeight="1">
      <c r="A17" s="1" t="s">
        <v>160</v>
      </c>
      <c r="B17" s="1" t="s">
        <v>161</v>
      </c>
      <c r="C17" s="1" t="s">
        <v>162</v>
      </c>
      <c r="D17" s="1" t="s">
        <v>163</v>
      </c>
      <c r="E17" s="1" t="s">
        <v>164</v>
      </c>
      <c r="I17" s="1" t="s">
        <v>165</v>
      </c>
      <c r="J17" s="1" t="s">
        <v>115</v>
      </c>
      <c r="K17" s="1">
        <v>4217.0</v>
      </c>
      <c r="L17" s="1" t="s">
        <v>35</v>
      </c>
      <c r="M17" s="1">
        <v>4.1524923E8</v>
      </c>
      <c r="N17" s="1" t="str">
        <f>"415249230"</f>
        <v>415249230</v>
      </c>
      <c r="P17" s="1" t="str">
        <f t="shared" si="1"/>
        <v/>
      </c>
      <c r="Q17" s="1">
        <v>4.1524923E8</v>
      </c>
      <c r="R17" s="1" t="str">
        <f>"0415249230"</f>
        <v>0415249230</v>
      </c>
      <c r="S17" s="1" t="s">
        <v>166</v>
      </c>
      <c r="T17" s="1" t="s">
        <v>37</v>
      </c>
      <c r="U17" s="1" t="s">
        <v>38</v>
      </c>
      <c r="V17" s="1" t="s">
        <v>50</v>
      </c>
      <c r="W17" s="1" t="s">
        <v>167</v>
      </c>
      <c r="X17" s="1">
        <v>10.0</v>
      </c>
      <c r="Y17" s="1">
        <v>13.0</v>
      </c>
      <c r="Z17" s="1">
        <v>4.0</v>
      </c>
      <c r="AA17" s="1" t="s">
        <v>41</v>
      </c>
    </row>
    <row r="18" ht="15.75" customHeight="1">
      <c r="A18" s="1" t="s">
        <v>168</v>
      </c>
      <c r="B18" s="1" t="s">
        <v>169</v>
      </c>
      <c r="C18" s="1" t="s">
        <v>170</v>
      </c>
      <c r="D18" s="1" t="s">
        <v>171</v>
      </c>
      <c r="E18" s="1" t="s">
        <v>172</v>
      </c>
      <c r="I18" s="1" t="s">
        <v>173</v>
      </c>
      <c r="J18" s="1" t="s">
        <v>115</v>
      </c>
      <c r="K18" s="1">
        <v>4217.0</v>
      </c>
      <c r="L18" s="1" t="s">
        <v>35</v>
      </c>
      <c r="M18" s="1">
        <v>6.14031587E9</v>
      </c>
      <c r="N18" s="1" t="str">
        <f>"6140315870"</f>
        <v>6140315870</v>
      </c>
      <c r="O18" s="1">
        <v>1.0</v>
      </c>
      <c r="P18" s="1" t="str">
        <f>"1"</f>
        <v>1</v>
      </c>
      <c r="R18" s="1" t="str">
        <f t="shared" ref="R18:R23" si="4">""</f>
        <v/>
      </c>
      <c r="S18" s="1" t="s">
        <v>174</v>
      </c>
      <c r="T18" s="1" t="s">
        <v>37</v>
      </c>
      <c r="U18" s="1" t="s">
        <v>38</v>
      </c>
      <c r="V18" s="1" t="s">
        <v>39</v>
      </c>
      <c r="W18" s="1" t="s">
        <v>40</v>
      </c>
      <c r="X18" s="1">
        <v>21.0</v>
      </c>
      <c r="Y18" s="1">
        <v>22.0</v>
      </c>
      <c r="Z18" s="1">
        <v>2.0</v>
      </c>
      <c r="AA18" s="1" t="s">
        <v>41</v>
      </c>
    </row>
    <row r="19" ht="15.75" customHeight="1">
      <c r="A19" s="1" t="s">
        <v>175</v>
      </c>
      <c r="B19" s="1" t="s">
        <v>176</v>
      </c>
      <c r="C19" s="1" t="s">
        <v>177</v>
      </c>
      <c r="D19" s="1" t="s">
        <v>178</v>
      </c>
      <c r="E19" s="1" t="s">
        <v>179</v>
      </c>
      <c r="I19" s="1" t="s">
        <v>180</v>
      </c>
      <c r="J19" s="1" t="s">
        <v>115</v>
      </c>
      <c r="K19" s="1">
        <v>4217.0</v>
      </c>
      <c r="L19" s="1" t="s">
        <v>35</v>
      </c>
      <c r="M19" s="1">
        <v>4.74841752E8</v>
      </c>
      <c r="N19" s="1" t="str">
        <f>"474841752"</f>
        <v>474841752</v>
      </c>
      <c r="P19" s="1" t="str">
        <f t="shared" ref="P19:P32" si="5">""</f>
        <v/>
      </c>
      <c r="R19" s="1" t="str">
        <f t="shared" si="4"/>
        <v/>
      </c>
      <c r="S19" s="1" t="s">
        <v>181</v>
      </c>
      <c r="T19" s="1" t="s">
        <v>37</v>
      </c>
      <c r="U19" s="1" t="s">
        <v>38</v>
      </c>
      <c r="V19" s="1" t="s">
        <v>39</v>
      </c>
      <c r="W19" s="1" t="s">
        <v>40</v>
      </c>
      <c r="X19" s="1">
        <v>14.0</v>
      </c>
      <c r="Y19" s="1">
        <v>16.0</v>
      </c>
      <c r="Z19" s="1">
        <v>3.0</v>
      </c>
      <c r="AA19" s="1" t="s">
        <v>41</v>
      </c>
    </row>
    <row r="20" ht="15.75" customHeight="1">
      <c r="A20" s="1" t="s">
        <v>182</v>
      </c>
      <c r="B20" s="1" t="s">
        <v>183</v>
      </c>
      <c r="C20" s="1" t="s">
        <v>184</v>
      </c>
      <c r="D20" s="1" t="s">
        <v>185</v>
      </c>
      <c r="E20" s="1" t="s">
        <v>186</v>
      </c>
      <c r="I20" s="1" t="s">
        <v>187</v>
      </c>
      <c r="J20" s="1" t="s">
        <v>188</v>
      </c>
      <c r="K20" s="1">
        <v>4018.0</v>
      </c>
      <c r="L20" s="1" t="s">
        <v>35</v>
      </c>
      <c r="M20" s="1">
        <v>4.66579055E8</v>
      </c>
      <c r="N20" s="1" t="str">
        <f>"466579055"</f>
        <v>466579055</v>
      </c>
      <c r="P20" s="1" t="str">
        <f t="shared" si="5"/>
        <v/>
      </c>
      <c r="R20" s="1" t="str">
        <f t="shared" si="4"/>
        <v/>
      </c>
      <c r="S20" s="1" t="s">
        <v>189</v>
      </c>
      <c r="T20" s="1" t="s">
        <v>37</v>
      </c>
      <c r="U20" s="1" t="s">
        <v>38</v>
      </c>
      <c r="V20" s="1" t="s">
        <v>39</v>
      </c>
      <c r="W20" s="1" t="s">
        <v>190</v>
      </c>
      <c r="X20" s="1">
        <v>19.0</v>
      </c>
      <c r="Y20" s="1">
        <v>20.0</v>
      </c>
      <c r="Z20" s="1">
        <v>2.0</v>
      </c>
      <c r="AA20" s="1" t="s">
        <v>41</v>
      </c>
    </row>
    <row r="21" ht="15.75" customHeight="1">
      <c r="A21" s="1" t="s">
        <v>191</v>
      </c>
      <c r="B21" s="1" t="s">
        <v>192</v>
      </c>
      <c r="C21" s="1" t="s">
        <v>193</v>
      </c>
      <c r="D21" s="1" t="s">
        <v>194</v>
      </c>
      <c r="E21" s="1" t="s">
        <v>195</v>
      </c>
      <c r="I21" s="1" t="s">
        <v>196</v>
      </c>
      <c r="J21" s="1" t="s">
        <v>197</v>
      </c>
      <c r="K21" s="1">
        <v>4227.0</v>
      </c>
      <c r="L21" s="1" t="s">
        <v>35</v>
      </c>
      <c r="M21" s="1">
        <v>4.73513414E8</v>
      </c>
      <c r="N21" s="1" t="str">
        <f>"473513414"</f>
        <v>473513414</v>
      </c>
      <c r="P21" s="1" t="str">
        <f t="shared" si="5"/>
        <v/>
      </c>
      <c r="R21" s="1" t="str">
        <f t="shared" si="4"/>
        <v/>
      </c>
      <c r="S21" s="1" t="s">
        <v>198</v>
      </c>
      <c r="T21" s="1" t="s">
        <v>37</v>
      </c>
      <c r="U21" s="1" t="s">
        <v>38</v>
      </c>
      <c r="V21" s="1" t="s">
        <v>50</v>
      </c>
      <c r="W21" s="1" t="s">
        <v>199</v>
      </c>
      <c r="X21" s="1">
        <v>16.0</v>
      </c>
      <c r="Y21" s="1">
        <v>18.0</v>
      </c>
      <c r="Z21" s="1">
        <v>3.0</v>
      </c>
      <c r="AA21" s="1" t="s">
        <v>41</v>
      </c>
    </row>
    <row r="22" ht="15.75" customHeight="1">
      <c r="A22" s="1" t="s">
        <v>200</v>
      </c>
      <c r="B22" s="1" t="s">
        <v>201</v>
      </c>
      <c r="C22" s="1" t="s">
        <v>202</v>
      </c>
      <c r="D22" s="1" t="s">
        <v>203</v>
      </c>
      <c r="E22" s="1" t="s">
        <v>204</v>
      </c>
      <c r="I22" s="1" t="s">
        <v>205</v>
      </c>
      <c r="J22" s="1" t="s">
        <v>206</v>
      </c>
      <c r="K22" s="1">
        <v>4035.0</v>
      </c>
      <c r="L22" s="1" t="s">
        <v>35</v>
      </c>
      <c r="M22" s="1">
        <v>4.50845585E8</v>
      </c>
      <c r="N22" s="1" t="str">
        <f>"450845585"</f>
        <v>450845585</v>
      </c>
      <c r="P22" s="1" t="str">
        <f t="shared" si="5"/>
        <v/>
      </c>
      <c r="R22" s="1" t="str">
        <f t="shared" si="4"/>
        <v/>
      </c>
      <c r="S22" s="1" t="s">
        <v>207</v>
      </c>
      <c r="T22" s="1" t="s">
        <v>37</v>
      </c>
      <c r="U22" s="1" t="s">
        <v>38</v>
      </c>
      <c r="V22" s="1" t="s">
        <v>39</v>
      </c>
      <c r="W22" s="1" t="s">
        <v>190</v>
      </c>
      <c r="X22" s="1">
        <v>15.0</v>
      </c>
      <c r="Y22" s="1">
        <v>18.0</v>
      </c>
      <c r="Z22" s="1">
        <v>4.0</v>
      </c>
      <c r="AA22" s="1" t="s">
        <v>41</v>
      </c>
    </row>
    <row r="23" ht="15.75" customHeight="1">
      <c r="A23" s="1" t="s">
        <v>208</v>
      </c>
      <c r="B23" s="1" t="s">
        <v>209</v>
      </c>
      <c r="C23" s="1" t="s">
        <v>210</v>
      </c>
      <c r="D23" s="1" t="s">
        <v>211</v>
      </c>
      <c r="E23" s="1" t="s">
        <v>212</v>
      </c>
      <c r="I23" s="1" t="s">
        <v>213</v>
      </c>
      <c r="J23" s="1" t="s">
        <v>214</v>
      </c>
      <c r="K23" s="1">
        <v>4068.0</v>
      </c>
      <c r="L23" s="1" t="s">
        <v>35</v>
      </c>
      <c r="M23" s="1">
        <v>4.37370033E8</v>
      </c>
      <c r="N23" s="1" t="str">
        <f>"437370033"</f>
        <v>437370033</v>
      </c>
      <c r="P23" s="1" t="str">
        <f t="shared" si="5"/>
        <v/>
      </c>
      <c r="R23" s="1" t="str">
        <f t="shared" si="4"/>
        <v/>
      </c>
      <c r="S23" s="1" t="s">
        <v>215</v>
      </c>
      <c r="T23" s="1" t="s">
        <v>37</v>
      </c>
      <c r="U23" s="1" t="s">
        <v>38</v>
      </c>
      <c r="V23" s="1" t="s">
        <v>50</v>
      </c>
      <c r="W23" s="1" t="s">
        <v>167</v>
      </c>
      <c r="X23" s="1">
        <v>29.0</v>
      </c>
      <c r="Y23" s="1">
        <v>32.0</v>
      </c>
      <c r="Z23" s="1">
        <v>4.0</v>
      </c>
      <c r="AA23" s="1" t="s">
        <v>41</v>
      </c>
    </row>
    <row r="24" ht="15.75" customHeight="1">
      <c r="A24" s="1" t="s">
        <v>216</v>
      </c>
      <c r="B24" s="1" t="s">
        <v>217</v>
      </c>
      <c r="C24" s="1" t="s">
        <v>218</v>
      </c>
      <c r="D24" s="1" t="s">
        <v>219</v>
      </c>
      <c r="E24" s="1" t="s">
        <v>220</v>
      </c>
      <c r="I24" s="1" t="s">
        <v>221</v>
      </c>
      <c r="J24" s="1" t="s">
        <v>222</v>
      </c>
      <c r="K24" s="1">
        <v>4217.0</v>
      </c>
      <c r="L24" s="1" t="s">
        <v>35</v>
      </c>
      <c r="M24" s="1">
        <v>4.10380674E8</v>
      </c>
      <c r="N24" s="1" t="str">
        <f>"410380674"</f>
        <v>410380674</v>
      </c>
      <c r="P24" s="1" t="str">
        <f t="shared" si="5"/>
        <v/>
      </c>
      <c r="Q24" s="1">
        <v>4.10380674E8</v>
      </c>
      <c r="R24" s="1" t="str">
        <f>"0410380674"</f>
        <v>0410380674</v>
      </c>
      <c r="S24" s="1" t="s">
        <v>223</v>
      </c>
      <c r="T24" s="1" t="s">
        <v>37</v>
      </c>
      <c r="U24" s="1" t="s">
        <v>38</v>
      </c>
      <c r="V24" s="1" t="s">
        <v>224</v>
      </c>
      <c r="W24" s="1" t="s">
        <v>40</v>
      </c>
      <c r="X24" s="1">
        <v>19.0</v>
      </c>
      <c r="Y24" s="1">
        <v>20.0</v>
      </c>
      <c r="Z24" s="1">
        <v>2.0</v>
      </c>
      <c r="AA24" s="1" t="s">
        <v>41</v>
      </c>
    </row>
    <row r="25" ht="15.75" customHeight="1">
      <c r="A25" s="1" t="s">
        <v>225</v>
      </c>
      <c r="B25" s="1" t="s">
        <v>226</v>
      </c>
      <c r="C25" s="1" t="s">
        <v>227</v>
      </c>
      <c r="D25" s="1" t="s">
        <v>228</v>
      </c>
      <c r="E25" s="1" t="s">
        <v>229</v>
      </c>
      <c r="I25" s="1" t="s">
        <v>230</v>
      </c>
      <c r="J25" s="1" t="s">
        <v>231</v>
      </c>
      <c r="K25" s="1">
        <v>4214.0</v>
      </c>
      <c r="L25" s="1" t="s">
        <v>35</v>
      </c>
      <c r="M25" s="1">
        <v>7.55735594E8</v>
      </c>
      <c r="N25" s="1" t="str">
        <f>"755735594"</f>
        <v>755735594</v>
      </c>
      <c r="P25" s="1" t="str">
        <f t="shared" si="5"/>
        <v/>
      </c>
      <c r="Q25" s="1">
        <v>4.16144042E8</v>
      </c>
      <c r="R25" s="1" t="str">
        <f>"0416144042"</f>
        <v>0416144042</v>
      </c>
      <c r="S25" s="1" t="s">
        <v>232</v>
      </c>
      <c r="T25" s="1" t="s">
        <v>37</v>
      </c>
      <c r="U25" s="1" t="s">
        <v>38</v>
      </c>
      <c r="V25" s="1" t="s">
        <v>50</v>
      </c>
      <c r="W25" s="1" t="s">
        <v>144</v>
      </c>
      <c r="X25" s="1">
        <v>25.0</v>
      </c>
      <c r="Y25" s="1">
        <v>25.0</v>
      </c>
      <c r="Z25" s="1">
        <v>1.0</v>
      </c>
      <c r="AA25" s="1" t="s">
        <v>41</v>
      </c>
    </row>
    <row r="26" ht="15.75" customHeight="1">
      <c r="A26" s="1" t="s">
        <v>233</v>
      </c>
      <c r="B26" s="1" t="s">
        <v>234</v>
      </c>
      <c r="C26" s="1" t="s">
        <v>235</v>
      </c>
      <c r="D26" s="1" t="s">
        <v>236</v>
      </c>
      <c r="E26" s="1" t="s">
        <v>237</v>
      </c>
      <c r="I26" s="1" t="s">
        <v>238</v>
      </c>
      <c r="J26" s="1" t="s">
        <v>239</v>
      </c>
      <c r="K26" s="1">
        <v>4068.0</v>
      </c>
      <c r="L26" s="1" t="s">
        <v>35</v>
      </c>
      <c r="M26" s="1">
        <v>4.70397331E8</v>
      </c>
      <c r="N26" s="1" t="str">
        <f>"470397331"</f>
        <v>470397331</v>
      </c>
      <c r="P26" s="1" t="str">
        <f t="shared" si="5"/>
        <v/>
      </c>
      <c r="Q26" s="1">
        <v>4.70397331E8</v>
      </c>
      <c r="R26" s="1" t="str">
        <f>"0470397331"</f>
        <v>0470397331</v>
      </c>
      <c r="S26" s="1" t="s">
        <v>240</v>
      </c>
      <c r="T26" s="1" t="s">
        <v>37</v>
      </c>
      <c r="U26" s="1" t="s">
        <v>38</v>
      </c>
      <c r="V26" s="1" t="s">
        <v>39</v>
      </c>
      <c r="W26" s="1" t="s">
        <v>190</v>
      </c>
      <c r="X26" s="1">
        <v>21.0</v>
      </c>
      <c r="Y26" s="1">
        <v>21.0</v>
      </c>
      <c r="Z26" s="1">
        <v>1.0</v>
      </c>
      <c r="AA26" s="1" t="s">
        <v>41</v>
      </c>
    </row>
    <row r="27" ht="15.75" customHeight="1">
      <c r="A27" s="1" t="s">
        <v>241</v>
      </c>
      <c r="B27" s="1" t="s">
        <v>242</v>
      </c>
      <c r="C27" s="1" t="s">
        <v>243</v>
      </c>
      <c r="D27" s="1" t="s">
        <v>244</v>
      </c>
      <c r="E27" s="1" t="s">
        <v>245</v>
      </c>
      <c r="I27" s="1" t="s">
        <v>246</v>
      </c>
      <c r="J27" s="1" t="s">
        <v>247</v>
      </c>
      <c r="K27" s="1">
        <v>4170.0</v>
      </c>
      <c r="L27" s="1" t="s">
        <v>35</v>
      </c>
      <c r="M27" s="1">
        <v>4.22301336E8</v>
      </c>
      <c r="N27" s="1" t="str">
        <f>"422301336"</f>
        <v>422301336</v>
      </c>
      <c r="P27" s="1" t="str">
        <f t="shared" si="5"/>
        <v/>
      </c>
      <c r="R27" s="1" t="str">
        <f>""</f>
        <v/>
      </c>
      <c r="S27" s="1" t="s">
        <v>248</v>
      </c>
      <c r="T27" s="1" t="s">
        <v>37</v>
      </c>
      <c r="U27" s="1" t="s">
        <v>38</v>
      </c>
      <c r="V27" s="1" t="s">
        <v>39</v>
      </c>
      <c r="W27" s="1" t="s">
        <v>249</v>
      </c>
      <c r="X27" s="1">
        <v>19.0</v>
      </c>
      <c r="Y27" s="1">
        <v>19.0</v>
      </c>
      <c r="Z27" s="1">
        <v>1.0</v>
      </c>
      <c r="AA27" s="1" t="s">
        <v>41</v>
      </c>
    </row>
    <row r="28" ht="15.75" customHeight="1">
      <c r="A28" s="1" t="s">
        <v>250</v>
      </c>
      <c r="B28" s="1" t="s">
        <v>251</v>
      </c>
      <c r="C28" s="1" t="s">
        <v>252</v>
      </c>
      <c r="D28" s="1" t="s">
        <v>253</v>
      </c>
      <c r="E28" s="1" t="s">
        <v>254</v>
      </c>
      <c r="I28" s="1" t="s">
        <v>255</v>
      </c>
      <c r="J28" s="1" t="s">
        <v>256</v>
      </c>
      <c r="K28" s="1">
        <v>4010.0</v>
      </c>
      <c r="L28" s="1" t="s">
        <v>35</v>
      </c>
      <c r="M28" s="1">
        <v>4.04562362E8</v>
      </c>
      <c r="N28" s="1" t="str">
        <f>"404562362"</f>
        <v>404562362</v>
      </c>
      <c r="P28" s="1" t="str">
        <f t="shared" si="5"/>
        <v/>
      </c>
      <c r="Q28" s="1">
        <v>4.04562362E8</v>
      </c>
      <c r="R28" s="1" t="str">
        <f>"0404562362"</f>
        <v>0404562362</v>
      </c>
      <c r="S28" s="1" t="s">
        <v>257</v>
      </c>
      <c r="T28" s="1" t="s">
        <v>37</v>
      </c>
      <c r="U28" s="1" t="s">
        <v>38</v>
      </c>
      <c r="V28" s="1" t="s">
        <v>50</v>
      </c>
      <c r="W28" s="1" t="s">
        <v>135</v>
      </c>
      <c r="X28" s="1">
        <v>21.0</v>
      </c>
      <c r="Y28" s="1">
        <v>23.0</v>
      </c>
      <c r="Z28" s="1">
        <v>3.0</v>
      </c>
      <c r="AA28" s="1" t="s">
        <v>41</v>
      </c>
    </row>
    <row r="29" ht="15.75" customHeight="1">
      <c r="A29" s="1" t="s">
        <v>258</v>
      </c>
      <c r="B29" s="1" t="s">
        <v>259</v>
      </c>
      <c r="C29" s="1" t="s">
        <v>260</v>
      </c>
      <c r="D29" s="1" t="s">
        <v>261</v>
      </c>
      <c r="E29" s="1" t="s">
        <v>131</v>
      </c>
      <c r="I29" s="1" t="s">
        <v>262</v>
      </c>
      <c r="J29" s="1" t="s">
        <v>263</v>
      </c>
      <c r="K29" s="1">
        <v>4032.0</v>
      </c>
      <c r="L29" s="1" t="s">
        <v>35</v>
      </c>
      <c r="M29" s="1">
        <v>4.67593454E8</v>
      </c>
      <c r="N29" s="1" t="str">
        <f>"467593454"</f>
        <v>467593454</v>
      </c>
      <c r="P29" s="1" t="str">
        <f t="shared" si="5"/>
        <v/>
      </c>
      <c r="Q29" s="1">
        <v>4.67593332E8</v>
      </c>
      <c r="R29" s="1" t="str">
        <f>"0467593332"</f>
        <v>0467593332</v>
      </c>
      <c r="S29" s="1" t="s">
        <v>264</v>
      </c>
      <c r="T29" s="1" t="s">
        <v>37</v>
      </c>
      <c r="U29" s="1" t="s">
        <v>38</v>
      </c>
      <c r="V29" s="1" t="s">
        <v>39</v>
      </c>
      <c r="W29" s="1" t="s">
        <v>190</v>
      </c>
      <c r="X29" s="1">
        <v>22.0</v>
      </c>
      <c r="Y29" s="1">
        <v>23.0</v>
      </c>
      <c r="Z29" s="1">
        <v>2.0</v>
      </c>
      <c r="AA29" s="1" t="s">
        <v>41</v>
      </c>
    </row>
    <row r="30" ht="15.75" customHeight="1">
      <c r="A30" s="1" t="s">
        <v>265</v>
      </c>
      <c r="B30" s="1" t="s">
        <v>266</v>
      </c>
      <c r="C30" s="1" t="s">
        <v>267</v>
      </c>
      <c r="D30" s="1" t="s">
        <v>268</v>
      </c>
      <c r="E30" s="1" t="s">
        <v>269</v>
      </c>
      <c r="I30" s="1" t="s">
        <v>270</v>
      </c>
      <c r="J30" s="1" t="s">
        <v>271</v>
      </c>
      <c r="K30" s="1">
        <v>4051.0</v>
      </c>
      <c r="L30" s="1" t="s">
        <v>35</v>
      </c>
      <c r="M30" s="1">
        <v>4.10255601E8</v>
      </c>
      <c r="N30" s="1" t="str">
        <f t="shared" ref="N30:N31" si="6">"410255601"</f>
        <v>410255601</v>
      </c>
      <c r="P30" s="1" t="str">
        <f t="shared" si="5"/>
        <v/>
      </c>
      <c r="Q30" s="1">
        <v>4.10255601E8</v>
      </c>
      <c r="R30" s="1" t="str">
        <f t="shared" ref="R30:R31" si="7">"0410255601"</f>
        <v>0410255601</v>
      </c>
      <c r="S30" s="1" t="s">
        <v>272</v>
      </c>
      <c r="T30" s="1" t="s">
        <v>37</v>
      </c>
      <c r="U30" s="1" t="s">
        <v>38</v>
      </c>
      <c r="V30" s="1" t="s">
        <v>50</v>
      </c>
      <c r="W30" s="1" t="s">
        <v>135</v>
      </c>
      <c r="X30" s="1">
        <v>13.0</v>
      </c>
      <c r="Y30" s="1">
        <v>14.0</v>
      </c>
      <c r="Z30" s="1">
        <v>2.0</v>
      </c>
      <c r="AA30" s="1" t="s">
        <v>41</v>
      </c>
    </row>
    <row r="31" ht="15.75" customHeight="1">
      <c r="A31" s="1" t="s">
        <v>273</v>
      </c>
      <c r="B31" s="1" t="s">
        <v>266</v>
      </c>
      <c r="C31" s="1" t="s">
        <v>267</v>
      </c>
      <c r="D31" s="1" t="s">
        <v>268</v>
      </c>
      <c r="E31" s="1" t="s">
        <v>269</v>
      </c>
      <c r="I31" s="1" t="s">
        <v>270</v>
      </c>
      <c r="J31" s="1" t="s">
        <v>271</v>
      </c>
      <c r="K31" s="1">
        <v>4051.0</v>
      </c>
      <c r="L31" s="1" t="s">
        <v>35</v>
      </c>
      <c r="M31" s="1">
        <v>4.10255601E8</v>
      </c>
      <c r="N31" s="1" t="str">
        <f t="shared" si="6"/>
        <v>410255601</v>
      </c>
      <c r="P31" s="1" t="str">
        <f t="shared" si="5"/>
        <v/>
      </c>
      <c r="Q31" s="1">
        <v>4.10255601E8</v>
      </c>
      <c r="R31" s="1" t="str">
        <f t="shared" si="7"/>
        <v>0410255601</v>
      </c>
      <c r="S31" s="1" t="s">
        <v>272</v>
      </c>
      <c r="T31" s="1" t="s">
        <v>37</v>
      </c>
      <c r="U31" s="1" t="s">
        <v>38</v>
      </c>
      <c r="V31" s="1" t="s">
        <v>50</v>
      </c>
      <c r="W31" s="1" t="s">
        <v>135</v>
      </c>
      <c r="X31" s="1">
        <v>11.0</v>
      </c>
      <c r="Y31" s="1">
        <v>12.0</v>
      </c>
      <c r="Z31" s="1">
        <v>2.0</v>
      </c>
      <c r="AA31" s="1" t="s">
        <v>41</v>
      </c>
    </row>
    <row r="32" ht="15.75" customHeight="1">
      <c r="A32" s="1" t="s">
        <v>274</v>
      </c>
      <c r="B32" s="1" t="s">
        <v>275</v>
      </c>
      <c r="C32" s="1" t="s">
        <v>276</v>
      </c>
      <c r="D32" s="1" t="s">
        <v>277</v>
      </c>
      <c r="E32" s="1" t="s">
        <v>278</v>
      </c>
      <c r="I32" s="1" t="s">
        <v>279</v>
      </c>
      <c r="J32" s="1" t="s">
        <v>280</v>
      </c>
      <c r="K32" s="1">
        <v>4075.0</v>
      </c>
      <c r="L32" s="1" t="s">
        <v>35</v>
      </c>
      <c r="M32" s="1">
        <v>4.34639324E8</v>
      </c>
      <c r="N32" s="1" t="str">
        <f>"434639324"</f>
        <v>434639324</v>
      </c>
      <c r="P32" s="1" t="str">
        <f t="shared" si="5"/>
        <v/>
      </c>
      <c r="Q32" s="1">
        <v>4.34639324E8</v>
      </c>
      <c r="R32" s="1" t="str">
        <f>"0434639324"</f>
        <v>0434639324</v>
      </c>
      <c r="S32" s="1" t="s">
        <v>281</v>
      </c>
      <c r="T32" s="1" t="s">
        <v>37</v>
      </c>
      <c r="U32" s="1" t="s">
        <v>38</v>
      </c>
      <c r="V32" s="1" t="s">
        <v>50</v>
      </c>
      <c r="W32" s="1" t="s">
        <v>108</v>
      </c>
      <c r="X32" s="1">
        <v>17.0</v>
      </c>
      <c r="Y32" s="1">
        <v>18.0</v>
      </c>
      <c r="Z32" s="1">
        <v>2.0</v>
      </c>
      <c r="AA32" s="1" t="s">
        <v>41</v>
      </c>
    </row>
    <row r="33" ht="15.75" customHeight="1">
      <c r="A33" s="1" t="s">
        <v>282</v>
      </c>
      <c r="B33" s="1" t="s">
        <v>283</v>
      </c>
      <c r="C33" s="1" t="s">
        <v>284</v>
      </c>
      <c r="D33" s="1" t="s">
        <v>285</v>
      </c>
      <c r="E33" s="1" t="s">
        <v>73</v>
      </c>
      <c r="I33" s="1" t="s">
        <v>286</v>
      </c>
      <c r="J33" s="1" t="s">
        <v>106</v>
      </c>
      <c r="K33" s="1">
        <v>4169.0</v>
      </c>
      <c r="L33" s="1" t="s">
        <v>35</v>
      </c>
      <c r="M33" s="1">
        <v>6.141665581E9</v>
      </c>
      <c r="N33" s="1" t="str">
        <f>"6141665581"</f>
        <v>6141665581</v>
      </c>
      <c r="O33" s="1">
        <v>1.0</v>
      </c>
      <c r="P33" s="1" t="str">
        <f>"1"</f>
        <v>1</v>
      </c>
      <c r="R33" s="1" t="str">
        <f>""</f>
        <v/>
      </c>
      <c r="S33" s="1" t="s">
        <v>287</v>
      </c>
      <c r="T33" s="1" t="s">
        <v>37</v>
      </c>
      <c r="U33" s="1" t="s">
        <v>38</v>
      </c>
      <c r="V33" s="1" t="s">
        <v>50</v>
      </c>
      <c r="W33" s="1" t="s">
        <v>288</v>
      </c>
      <c r="X33" s="1">
        <v>24.0</v>
      </c>
      <c r="Y33" s="1">
        <v>28.0</v>
      </c>
      <c r="Z33" s="1">
        <v>5.0</v>
      </c>
      <c r="AA33" s="1" t="s">
        <v>41</v>
      </c>
    </row>
    <row r="34" ht="15.75" customHeight="1">
      <c r="A34" s="1" t="s">
        <v>289</v>
      </c>
      <c r="B34" s="1" t="s">
        <v>290</v>
      </c>
      <c r="C34" s="1" t="s">
        <v>291</v>
      </c>
      <c r="D34" s="1" t="s">
        <v>292</v>
      </c>
      <c r="E34" s="1" t="s">
        <v>293</v>
      </c>
      <c r="I34" s="1" t="s">
        <v>294</v>
      </c>
      <c r="J34" s="1" t="s">
        <v>295</v>
      </c>
      <c r="K34" s="1">
        <v>4226.0</v>
      </c>
      <c r="L34" s="1" t="s">
        <v>35</v>
      </c>
      <c r="M34" s="1">
        <v>4.12150721E8</v>
      </c>
      <c r="N34" s="1" t="str">
        <f>"412150721"</f>
        <v>412150721</v>
      </c>
      <c r="P34" s="1" t="str">
        <f t="shared" ref="P34:P68" si="8">""</f>
        <v/>
      </c>
      <c r="Q34" s="1">
        <v>4.12150721E8</v>
      </c>
      <c r="R34" s="1" t="str">
        <f>"0412150721"</f>
        <v>0412150721</v>
      </c>
      <c r="S34" s="1" t="s">
        <v>296</v>
      </c>
      <c r="T34" s="1" t="s">
        <v>37</v>
      </c>
      <c r="U34" s="1" t="s">
        <v>38</v>
      </c>
      <c r="V34" s="1" t="s">
        <v>50</v>
      </c>
      <c r="W34" s="1" t="s">
        <v>144</v>
      </c>
      <c r="X34" s="1">
        <v>13.0</v>
      </c>
      <c r="Y34" s="1">
        <v>16.0</v>
      </c>
      <c r="Z34" s="1">
        <v>4.0</v>
      </c>
      <c r="AA34" s="1" t="s">
        <v>41</v>
      </c>
    </row>
    <row r="35" ht="15.75" customHeight="1">
      <c r="A35" s="1" t="s">
        <v>297</v>
      </c>
      <c r="B35" s="1" t="s">
        <v>298</v>
      </c>
      <c r="C35" s="1" t="s">
        <v>299</v>
      </c>
      <c r="D35" s="1" t="s">
        <v>300</v>
      </c>
      <c r="E35" s="1" t="s">
        <v>301</v>
      </c>
      <c r="I35" s="1" t="s">
        <v>302</v>
      </c>
      <c r="J35" s="1" t="s">
        <v>303</v>
      </c>
      <c r="K35" s="1">
        <v>4132.0</v>
      </c>
      <c r="L35" s="1" t="s">
        <v>35</v>
      </c>
      <c r="M35" s="1">
        <v>4.13886004E8</v>
      </c>
      <c r="N35" s="1" t="str">
        <f>"413886004"</f>
        <v>413886004</v>
      </c>
      <c r="P35" s="1" t="str">
        <f t="shared" si="8"/>
        <v/>
      </c>
      <c r="Q35" s="1">
        <v>4.13886004E8</v>
      </c>
      <c r="R35" s="1" t="str">
        <f>"0413886004"</f>
        <v>0413886004</v>
      </c>
      <c r="S35" s="1" t="s">
        <v>304</v>
      </c>
      <c r="T35" s="1" t="s">
        <v>37</v>
      </c>
      <c r="U35" s="1" t="s">
        <v>38</v>
      </c>
      <c r="V35" s="1" t="s">
        <v>50</v>
      </c>
      <c r="W35" s="1" t="s">
        <v>135</v>
      </c>
      <c r="X35" s="1">
        <v>24.0</v>
      </c>
      <c r="Y35" s="1">
        <v>25.0</v>
      </c>
      <c r="Z35" s="1">
        <v>2.0</v>
      </c>
      <c r="AA35" s="1" t="s">
        <v>41</v>
      </c>
    </row>
    <row r="36" ht="15.75" customHeight="1">
      <c r="A36" s="1" t="s">
        <v>305</v>
      </c>
      <c r="B36" s="1" t="s">
        <v>306</v>
      </c>
      <c r="C36" s="1" t="s">
        <v>307</v>
      </c>
      <c r="D36" s="1" t="s">
        <v>308</v>
      </c>
      <c r="E36" s="1" t="s">
        <v>309</v>
      </c>
      <c r="I36" s="1" t="s">
        <v>310</v>
      </c>
      <c r="J36" s="1" t="s">
        <v>311</v>
      </c>
      <c r="K36" s="1">
        <v>4300.0</v>
      </c>
      <c r="L36" s="1" t="s">
        <v>35</v>
      </c>
      <c r="M36" s="1">
        <v>4.02712178E8</v>
      </c>
      <c r="N36" s="1" t="str">
        <f>"402712178"</f>
        <v>402712178</v>
      </c>
      <c r="P36" s="1" t="str">
        <f t="shared" si="8"/>
        <v/>
      </c>
      <c r="Q36" s="1">
        <v>4.02712178E8</v>
      </c>
      <c r="R36" s="1" t="str">
        <f>"0402712178"</f>
        <v>0402712178</v>
      </c>
      <c r="S36" s="1" t="s">
        <v>312</v>
      </c>
      <c r="T36" s="1" t="s">
        <v>37</v>
      </c>
      <c r="U36" s="1" t="s">
        <v>38</v>
      </c>
      <c r="V36" s="1" t="s">
        <v>39</v>
      </c>
      <c r="W36" s="1" t="s">
        <v>190</v>
      </c>
      <c r="X36" s="1">
        <v>24.0</v>
      </c>
      <c r="Y36" s="1">
        <v>25.0</v>
      </c>
      <c r="Z36" s="1">
        <v>2.0</v>
      </c>
      <c r="AA36" s="1" t="s">
        <v>41</v>
      </c>
    </row>
    <row r="37" ht="15.75" customHeight="1">
      <c r="A37" s="1" t="s">
        <v>313</v>
      </c>
      <c r="B37" s="1" t="s">
        <v>314</v>
      </c>
      <c r="C37" s="1" t="s">
        <v>315</v>
      </c>
      <c r="D37" s="1" t="s">
        <v>316</v>
      </c>
      <c r="E37" s="1" t="s">
        <v>317</v>
      </c>
      <c r="I37" s="1" t="s">
        <v>318</v>
      </c>
      <c r="J37" s="1" t="s">
        <v>319</v>
      </c>
      <c r="K37" s="1">
        <v>4103.0</v>
      </c>
      <c r="L37" s="1" t="s">
        <v>35</v>
      </c>
      <c r="M37" s="1">
        <v>4.70172337E8</v>
      </c>
      <c r="N37" s="1" t="str">
        <f>"470172337"</f>
        <v>470172337</v>
      </c>
      <c r="P37" s="1" t="str">
        <f t="shared" si="8"/>
        <v/>
      </c>
      <c r="R37" s="1" t="str">
        <f>""</f>
        <v/>
      </c>
      <c r="S37" s="1" t="s">
        <v>320</v>
      </c>
      <c r="T37" s="1" t="s">
        <v>37</v>
      </c>
      <c r="U37" s="1" t="s">
        <v>38</v>
      </c>
      <c r="V37" s="1" t="s">
        <v>39</v>
      </c>
      <c r="W37" s="1" t="s">
        <v>249</v>
      </c>
      <c r="X37" s="1">
        <v>20.0</v>
      </c>
      <c r="Y37" s="1">
        <v>21.0</v>
      </c>
      <c r="Z37" s="1">
        <v>2.0</v>
      </c>
      <c r="AA37" s="1" t="s">
        <v>41</v>
      </c>
    </row>
    <row r="38" ht="15.75" customHeight="1">
      <c r="A38" s="1" t="s">
        <v>321</v>
      </c>
      <c r="B38" s="1" t="s">
        <v>322</v>
      </c>
      <c r="C38" s="1" t="s">
        <v>323</v>
      </c>
      <c r="D38" s="1" t="s">
        <v>324</v>
      </c>
      <c r="E38" s="1" t="s">
        <v>325</v>
      </c>
      <c r="I38" s="1" t="s">
        <v>326</v>
      </c>
      <c r="J38" s="1" t="s">
        <v>98</v>
      </c>
      <c r="K38" s="1">
        <v>4064.0</v>
      </c>
      <c r="L38" s="1" t="s">
        <v>35</v>
      </c>
      <c r="M38" s="1">
        <v>4.66992646E8</v>
      </c>
      <c r="N38" s="1" t="str">
        <f>"466992646"</f>
        <v>466992646</v>
      </c>
      <c r="P38" s="1" t="str">
        <f t="shared" si="8"/>
        <v/>
      </c>
      <c r="Q38" s="1">
        <v>4.66992646E8</v>
      </c>
      <c r="R38" s="1" t="str">
        <f>"0466992646"</f>
        <v>0466992646</v>
      </c>
      <c r="S38" s="1" t="s">
        <v>327</v>
      </c>
      <c r="T38" s="1" t="s">
        <v>37</v>
      </c>
      <c r="U38" s="1" t="s">
        <v>38</v>
      </c>
      <c r="V38" s="1" t="s">
        <v>50</v>
      </c>
      <c r="W38" s="1" t="s">
        <v>328</v>
      </c>
      <c r="X38" s="1">
        <v>21.0</v>
      </c>
      <c r="Y38" s="1">
        <v>22.0</v>
      </c>
      <c r="Z38" s="1">
        <v>2.0</v>
      </c>
      <c r="AA38" s="1" t="s">
        <v>41</v>
      </c>
    </row>
    <row r="39" ht="15.75" customHeight="1">
      <c r="A39" s="1" t="s">
        <v>329</v>
      </c>
      <c r="B39" s="1" t="s">
        <v>330</v>
      </c>
      <c r="C39" s="1" t="s">
        <v>331</v>
      </c>
      <c r="D39" s="1" t="s">
        <v>332</v>
      </c>
      <c r="E39" s="1" t="s">
        <v>204</v>
      </c>
      <c r="I39" s="1" t="s">
        <v>333</v>
      </c>
      <c r="J39" s="1" t="s">
        <v>334</v>
      </c>
      <c r="K39" s="1">
        <v>4074.0</v>
      </c>
      <c r="L39" s="1" t="s">
        <v>35</v>
      </c>
      <c r="M39" s="1">
        <v>4.04008854E8</v>
      </c>
      <c r="N39" s="1" t="str">
        <f>"404008854"</f>
        <v>404008854</v>
      </c>
      <c r="P39" s="1" t="str">
        <f t="shared" si="8"/>
        <v/>
      </c>
      <c r="Q39" s="1">
        <v>4.04008854E8</v>
      </c>
      <c r="R39" s="1" t="str">
        <f>"0404008854"</f>
        <v>0404008854</v>
      </c>
      <c r="S39" s="1" t="s">
        <v>335</v>
      </c>
      <c r="T39" s="1" t="s">
        <v>37</v>
      </c>
      <c r="U39" s="1" t="s">
        <v>38</v>
      </c>
      <c r="V39" s="1" t="s">
        <v>117</v>
      </c>
      <c r="W39" s="1" t="s">
        <v>336</v>
      </c>
      <c r="X39" s="1">
        <v>31.0</v>
      </c>
      <c r="Y39" s="1">
        <v>32.0</v>
      </c>
      <c r="Z39" s="1">
        <v>2.0</v>
      </c>
      <c r="AA39" s="1" t="s">
        <v>41</v>
      </c>
    </row>
    <row r="40" ht="15.75" customHeight="1">
      <c r="A40" s="1" t="s">
        <v>337</v>
      </c>
      <c r="B40" s="1" t="s">
        <v>338</v>
      </c>
      <c r="C40" s="1" t="s">
        <v>339</v>
      </c>
      <c r="D40" s="1" t="s">
        <v>340</v>
      </c>
      <c r="E40" s="1" t="s">
        <v>341</v>
      </c>
      <c r="I40" s="1" t="s">
        <v>342</v>
      </c>
      <c r="J40" s="1" t="s">
        <v>343</v>
      </c>
      <c r="K40" s="1">
        <v>4069.0</v>
      </c>
      <c r="L40" s="1" t="s">
        <v>35</v>
      </c>
      <c r="M40" s="1">
        <v>4.48444693E8</v>
      </c>
      <c r="N40" s="1" t="str">
        <f>"448444693"</f>
        <v>448444693</v>
      </c>
      <c r="P40" s="1" t="str">
        <f t="shared" si="8"/>
        <v/>
      </c>
      <c r="Q40" s="1">
        <v>4.48444693E8</v>
      </c>
      <c r="R40" s="1" t="str">
        <f>"0448444693"</f>
        <v>0448444693</v>
      </c>
      <c r="S40" s="1" t="s">
        <v>344</v>
      </c>
      <c r="T40" s="1" t="s">
        <v>37</v>
      </c>
      <c r="U40" s="1" t="s">
        <v>38</v>
      </c>
      <c r="V40" s="1" t="s">
        <v>50</v>
      </c>
      <c r="W40" s="1" t="s">
        <v>345</v>
      </c>
      <c r="X40" s="1">
        <v>17.0</v>
      </c>
      <c r="Y40" s="1">
        <v>18.0</v>
      </c>
      <c r="Z40" s="1">
        <v>2.0</v>
      </c>
      <c r="AA40" s="1" t="s">
        <v>41</v>
      </c>
    </row>
    <row r="41" ht="15.75" customHeight="1">
      <c r="A41" s="1" t="s">
        <v>346</v>
      </c>
      <c r="B41" s="1" t="s">
        <v>347</v>
      </c>
      <c r="C41" s="1" t="s">
        <v>348</v>
      </c>
      <c r="D41" s="1" t="s">
        <v>349</v>
      </c>
      <c r="E41" s="1" t="s">
        <v>350</v>
      </c>
      <c r="I41" s="1" t="s">
        <v>351</v>
      </c>
      <c r="J41" s="1" t="s">
        <v>352</v>
      </c>
      <c r="K41" s="1">
        <v>4012.0</v>
      </c>
      <c r="L41" s="1" t="s">
        <v>35</v>
      </c>
      <c r="M41" s="1">
        <v>4.49892315E8</v>
      </c>
      <c r="N41" s="1" t="str">
        <f>"449892315"</f>
        <v>449892315</v>
      </c>
      <c r="P41" s="1" t="str">
        <f t="shared" si="8"/>
        <v/>
      </c>
      <c r="Q41" s="1">
        <v>4.49892315E8</v>
      </c>
      <c r="R41" s="1" t="str">
        <f>"0449892315"</f>
        <v>0449892315</v>
      </c>
      <c r="S41" s="1" t="s">
        <v>353</v>
      </c>
      <c r="T41" s="1" t="s">
        <v>37</v>
      </c>
      <c r="U41" s="1" t="s">
        <v>38</v>
      </c>
      <c r="V41" s="1" t="s">
        <v>224</v>
      </c>
      <c r="W41" s="1" t="s">
        <v>249</v>
      </c>
      <c r="X41" s="1">
        <v>19.0</v>
      </c>
      <c r="Y41" s="1">
        <v>20.0</v>
      </c>
      <c r="Z41" s="1">
        <v>2.0</v>
      </c>
      <c r="AA41" s="1" t="s">
        <v>41</v>
      </c>
    </row>
    <row r="42" ht="15.75" customHeight="1">
      <c r="A42" s="1" t="s">
        <v>354</v>
      </c>
      <c r="B42" s="1" t="s">
        <v>355</v>
      </c>
      <c r="C42" s="1" t="s">
        <v>356</v>
      </c>
      <c r="D42" s="1" t="s">
        <v>357</v>
      </c>
      <c r="E42" s="1" t="s">
        <v>278</v>
      </c>
      <c r="I42" s="1" t="s">
        <v>358</v>
      </c>
      <c r="J42" s="1" t="s">
        <v>359</v>
      </c>
      <c r="K42" s="1">
        <v>4105.0</v>
      </c>
      <c r="L42" s="1" t="s">
        <v>35</v>
      </c>
      <c r="M42" s="1">
        <v>4.05291658E8</v>
      </c>
      <c r="N42" s="1" t="str">
        <f>"405291658"</f>
        <v>405291658</v>
      </c>
      <c r="P42" s="1" t="str">
        <f t="shared" si="8"/>
        <v/>
      </c>
      <c r="Q42" s="1">
        <v>4.05291658E8</v>
      </c>
      <c r="R42" s="1" t="str">
        <f>"0405291658"</f>
        <v>0405291658</v>
      </c>
      <c r="S42" s="1" t="s">
        <v>360</v>
      </c>
      <c r="T42" s="1" t="s">
        <v>37</v>
      </c>
      <c r="U42" s="1" t="s">
        <v>38</v>
      </c>
      <c r="V42" s="1" t="s">
        <v>50</v>
      </c>
      <c r="W42" s="1" t="s">
        <v>288</v>
      </c>
      <c r="X42" s="1">
        <v>13.0</v>
      </c>
      <c r="Y42" s="1">
        <v>15.0</v>
      </c>
      <c r="Z42" s="1">
        <v>3.0</v>
      </c>
      <c r="AA42" s="1" t="s">
        <v>41</v>
      </c>
    </row>
    <row r="43" ht="15.75" customHeight="1">
      <c r="A43" s="1" t="s">
        <v>361</v>
      </c>
      <c r="B43" s="1" t="s">
        <v>362</v>
      </c>
      <c r="C43" s="1" t="s">
        <v>363</v>
      </c>
      <c r="D43" s="1" t="s">
        <v>364</v>
      </c>
      <c r="E43" s="1" t="s">
        <v>365</v>
      </c>
      <c r="I43" s="1" t="s">
        <v>366</v>
      </c>
      <c r="J43" s="1" t="s">
        <v>367</v>
      </c>
      <c r="K43" s="1">
        <v>4007.0</v>
      </c>
      <c r="L43" s="1" t="s">
        <v>35</v>
      </c>
      <c r="M43" s="1">
        <v>4.12758297E8</v>
      </c>
      <c r="N43" s="1" t="str">
        <f t="shared" ref="N43:N45" si="9">"412758297"</f>
        <v>412758297</v>
      </c>
      <c r="P43" s="1" t="str">
        <f t="shared" si="8"/>
        <v/>
      </c>
      <c r="Q43" s="1">
        <v>4.12758297E8</v>
      </c>
      <c r="R43" s="1" t="str">
        <f t="shared" ref="R43:R45" si="10">"0412758297"</f>
        <v>0412758297</v>
      </c>
      <c r="S43" s="1" t="s">
        <v>368</v>
      </c>
      <c r="T43" s="1" t="s">
        <v>37</v>
      </c>
      <c r="U43" s="1" t="s">
        <v>38</v>
      </c>
      <c r="V43" s="1" t="s">
        <v>50</v>
      </c>
      <c r="W43" s="1" t="s">
        <v>199</v>
      </c>
      <c r="X43" s="1">
        <v>11.0</v>
      </c>
      <c r="Y43" s="1">
        <v>14.0</v>
      </c>
      <c r="Z43" s="1">
        <v>4.0</v>
      </c>
      <c r="AA43" s="1" t="s">
        <v>41</v>
      </c>
      <c r="AB43" s="1" t="s">
        <v>369</v>
      </c>
    </row>
    <row r="44" ht="15.75" customHeight="1">
      <c r="A44" s="1" t="s">
        <v>361</v>
      </c>
      <c r="B44" s="1" t="s">
        <v>362</v>
      </c>
      <c r="C44" s="1" t="s">
        <v>363</v>
      </c>
      <c r="D44" s="1" t="s">
        <v>364</v>
      </c>
      <c r="E44" s="1" t="s">
        <v>365</v>
      </c>
      <c r="I44" s="1" t="s">
        <v>366</v>
      </c>
      <c r="J44" s="1" t="s">
        <v>367</v>
      </c>
      <c r="K44" s="1">
        <v>4007.0</v>
      </c>
      <c r="L44" s="1" t="s">
        <v>35</v>
      </c>
      <c r="M44" s="1">
        <v>4.12758297E8</v>
      </c>
      <c r="N44" s="1" t="str">
        <f t="shared" si="9"/>
        <v>412758297</v>
      </c>
      <c r="P44" s="1" t="str">
        <f t="shared" si="8"/>
        <v/>
      </c>
      <c r="Q44" s="1">
        <v>4.12758297E8</v>
      </c>
      <c r="R44" s="1" t="str">
        <f t="shared" si="10"/>
        <v>0412758297</v>
      </c>
      <c r="S44" s="1" t="s">
        <v>368</v>
      </c>
      <c r="T44" s="1" t="s">
        <v>37</v>
      </c>
      <c r="U44" s="1" t="s">
        <v>38</v>
      </c>
      <c r="V44" s="1" t="s">
        <v>50</v>
      </c>
      <c r="W44" s="1" t="s">
        <v>328</v>
      </c>
      <c r="X44" s="1">
        <v>11.0</v>
      </c>
      <c r="Y44" s="1">
        <v>14.0</v>
      </c>
      <c r="Z44" s="1">
        <v>4.0</v>
      </c>
      <c r="AA44" s="1" t="s">
        <v>41</v>
      </c>
      <c r="AB44" s="1" t="s">
        <v>369</v>
      </c>
    </row>
    <row r="45" ht="15.75" customHeight="1">
      <c r="A45" s="1" t="s">
        <v>361</v>
      </c>
      <c r="B45" s="1" t="s">
        <v>362</v>
      </c>
      <c r="C45" s="1" t="s">
        <v>363</v>
      </c>
      <c r="D45" s="1" t="s">
        <v>364</v>
      </c>
      <c r="E45" s="1" t="s">
        <v>365</v>
      </c>
      <c r="I45" s="1" t="s">
        <v>366</v>
      </c>
      <c r="J45" s="1" t="s">
        <v>367</v>
      </c>
      <c r="K45" s="1">
        <v>4007.0</v>
      </c>
      <c r="L45" s="1" t="s">
        <v>35</v>
      </c>
      <c r="M45" s="1">
        <v>4.12758297E8</v>
      </c>
      <c r="N45" s="1" t="str">
        <f t="shared" si="9"/>
        <v>412758297</v>
      </c>
      <c r="P45" s="1" t="str">
        <f t="shared" si="8"/>
        <v/>
      </c>
      <c r="Q45" s="1">
        <v>4.12758297E8</v>
      </c>
      <c r="R45" s="1" t="str">
        <f t="shared" si="10"/>
        <v>0412758297</v>
      </c>
      <c r="S45" s="1" t="s">
        <v>368</v>
      </c>
      <c r="T45" s="1" t="s">
        <v>37</v>
      </c>
      <c r="U45" s="1" t="s">
        <v>38</v>
      </c>
      <c r="V45" s="1" t="s">
        <v>50</v>
      </c>
      <c r="W45" s="1" t="s">
        <v>370</v>
      </c>
      <c r="X45" s="1">
        <v>11.0</v>
      </c>
      <c r="Y45" s="1">
        <v>17.0</v>
      </c>
      <c r="Z45" s="1">
        <v>7.0</v>
      </c>
      <c r="AA45" s="1" t="s">
        <v>41</v>
      </c>
      <c r="AB45" s="1" t="s">
        <v>369</v>
      </c>
    </row>
    <row r="46" ht="15.75" customHeight="1">
      <c r="A46" s="1" t="s">
        <v>371</v>
      </c>
      <c r="B46" s="1" t="s">
        <v>372</v>
      </c>
      <c r="C46" s="1" t="s">
        <v>373</v>
      </c>
      <c r="D46" s="1" t="s">
        <v>374</v>
      </c>
      <c r="E46" s="1" t="s">
        <v>375</v>
      </c>
      <c r="I46" s="1" t="s">
        <v>376</v>
      </c>
      <c r="J46" s="1" t="s">
        <v>377</v>
      </c>
      <c r="K46" s="1">
        <v>4215.0</v>
      </c>
      <c r="L46" s="1" t="s">
        <v>35</v>
      </c>
      <c r="M46" s="1">
        <v>4.90424644E8</v>
      </c>
      <c r="N46" s="1" t="str">
        <f>"490424644"</f>
        <v>490424644</v>
      </c>
      <c r="P46" s="1" t="str">
        <f t="shared" si="8"/>
        <v/>
      </c>
      <c r="Q46" s="1">
        <v>4.90424644E8</v>
      </c>
      <c r="R46" s="1" t="str">
        <f>"0490424644"</f>
        <v>0490424644</v>
      </c>
      <c r="S46" s="1" t="s">
        <v>378</v>
      </c>
      <c r="T46" s="1" t="s">
        <v>37</v>
      </c>
      <c r="U46" s="1" t="s">
        <v>38</v>
      </c>
      <c r="V46" s="1" t="s">
        <v>50</v>
      </c>
      <c r="W46" s="1" t="s">
        <v>108</v>
      </c>
      <c r="X46" s="1">
        <v>15.0</v>
      </c>
      <c r="Y46" s="1">
        <v>16.0</v>
      </c>
      <c r="Z46" s="1">
        <v>2.0</v>
      </c>
      <c r="AA46" s="1" t="s">
        <v>41</v>
      </c>
    </row>
    <row r="47" ht="15.75" customHeight="1">
      <c r="A47" s="1" t="s">
        <v>379</v>
      </c>
      <c r="B47" s="1" t="s">
        <v>380</v>
      </c>
      <c r="C47" s="1" t="s">
        <v>381</v>
      </c>
      <c r="D47" s="1" t="s">
        <v>382</v>
      </c>
      <c r="E47" s="1" t="s">
        <v>383</v>
      </c>
      <c r="I47" s="1" t="s">
        <v>384</v>
      </c>
      <c r="J47" s="1" t="s">
        <v>385</v>
      </c>
      <c r="K47" s="1">
        <v>4051.0</v>
      </c>
      <c r="L47" s="1" t="s">
        <v>35</v>
      </c>
      <c r="M47" s="1">
        <v>4.35492466E8</v>
      </c>
      <c r="N47" s="1" t="str">
        <f>"435492466"</f>
        <v>435492466</v>
      </c>
      <c r="P47" s="1" t="str">
        <f t="shared" si="8"/>
        <v/>
      </c>
      <c r="Q47" s="1">
        <v>4.35492466E8</v>
      </c>
      <c r="R47" s="1" t="str">
        <f>"0435492466"</f>
        <v>0435492466</v>
      </c>
      <c r="S47" s="1" t="s">
        <v>386</v>
      </c>
      <c r="T47" s="1" t="s">
        <v>37</v>
      </c>
      <c r="U47" s="1" t="s">
        <v>38</v>
      </c>
      <c r="V47" s="1" t="s">
        <v>50</v>
      </c>
      <c r="W47" s="1" t="s">
        <v>387</v>
      </c>
      <c r="X47" s="1">
        <v>12.0</v>
      </c>
      <c r="Y47" s="1">
        <v>12.0</v>
      </c>
      <c r="Z47" s="1">
        <v>1.0</v>
      </c>
      <c r="AA47" s="1" t="s">
        <v>41</v>
      </c>
    </row>
    <row r="48" ht="15.75" customHeight="1">
      <c r="A48" s="1" t="s">
        <v>388</v>
      </c>
      <c r="B48" s="1" t="s">
        <v>389</v>
      </c>
      <c r="C48" s="1" t="s">
        <v>390</v>
      </c>
      <c r="D48" s="1" t="s">
        <v>391</v>
      </c>
      <c r="E48" s="1" t="s">
        <v>392</v>
      </c>
      <c r="I48" s="1" t="s">
        <v>393</v>
      </c>
      <c r="J48" s="1" t="s">
        <v>394</v>
      </c>
      <c r="K48" s="1">
        <v>4017.0</v>
      </c>
      <c r="L48" s="1" t="s">
        <v>35</v>
      </c>
      <c r="M48" s="1">
        <v>4.88214235E8</v>
      </c>
      <c r="N48" s="1" t="str">
        <f>"488214235"</f>
        <v>488214235</v>
      </c>
      <c r="P48" s="1" t="str">
        <f t="shared" si="8"/>
        <v/>
      </c>
      <c r="Q48" s="1">
        <v>4.88214235E8</v>
      </c>
      <c r="R48" s="1" t="str">
        <f>"0488214235"</f>
        <v>0488214235</v>
      </c>
      <c r="S48" s="1" t="s">
        <v>395</v>
      </c>
      <c r="T48" s="1" t="s">
        <v>37</v>
      </c>
      <c r="U48" s="1" t="s">
        <v>38</v>
      </c>
      <c r="V48" s="1" t="s">
        <v>50</v>
      </c>
      <c r="W48" s="1" t="s">
        <v>336</v>
      </c>
      <c r="X48" s="1">
        <v>13.0</v>
      </c>
      <c r="Y48" s="1">
        <v>18.0</v>
      </c>
      <c r="Z48" s="1">
        <v>6.0</v>
      </c>
      <c r="AA48" s="1" t="s">
        <v>41</v>
      </c>
    </row>
    <row r="49" ht="15.75" customHeight="1">
      <c r="A49" s="1" t="s">
        <v>396</v>
      </c>
      <c r="B49" s="1" t="s">
        <v>397</v>
      </c>
      <c r="C49" s="1" t="s">
        <v>398</v>
      </c>
      <c r="D49" s="1" t="s">
        <v>399</v>
      </c>
      <c r="E49" s="1" t="s">
        <v>278</v>
      </c>
      <c r="I49" s="1" t="s">
        <v>400</v>
      </c>
      <c r="J49" s="1" t="s">
        <v>48</v>
      </c>
      <c r="K49" s="1">
        <v>4075.0</v>
      </c>
      <c r="L49" s="1" t="s">
        <v>35</v>
      </c>
      <c r="M49" s="1">
        <v>4.19663897E8</v>
      </c>
      <c r="N49" s="1" t="str">
        <f>"419663897"</f>
        <v>419663897</v>
      </c>
      <c r="P49" s="1" t="str">
        <f t="shared" si="8"/>
        <v/>
      </c>
      <c r="Q49" s="1">
        <v>4.19663897E8</v>
      </c>
      <c r="R49" s="1" t="str">
        <f>"0419663897"</f>
        <v>0419663897</v>
      </c>
      <c r="S49" s="1" t="s">
        <v>401</v>
      </c>
      <c r="T49" s="1" t="s">
        <v>37</v>
      </c>
      <c r="U49" s="1" t="s">
        <v>38</v>
      </c>
      <c r="V49" s="1" t="s">
        <v>39</v>
      </c>
      <c r="W49" s="1" t="s">
        <v>249</v>
      </c>
      <c r="X49" s="1">
        <v>15.0</v>
      </c>
      <c r="Y49" s="1">
        <v>18.0</v>
      </c>
      <c r="Z49" s="1">
        <v>4.0</v>
      </c>
      <c r="AA49" s="1" t="s">
        <v>41</v>
      </c>
    </row>
    <row r="50" ht="15.75" customHeight="1">
      <c r="A50" s="1" t="s">
        <v>402</v>
      </c>
      <c r="B50" s="1" t="s">
        <v>403</v>
      </c>
      <c r="C50" s="1" t="s">
        <v>404</v>
      </c>
      <c r="D50" s="1" t="s">
        <v>405</v>
      </c>
      <c r="E50" s="1" t="s">
        <v>406</v>
      </c>
      <c r="I50" s="1" t="s">
        <v>407</v>
      </c>
      <c r="J50" s="1" t="s">
        <v>34</v>
      </c>
      <c r="K50" s="1">
        <v>4115.0</v>
      </c>
      <c r="L50" s="1" t="s">
        <v>35</v>
      </c>
      <c r="M50" s="1">
        <v>7.33974026E8</v>
      </c>
      <c r="N50" s="1" t="str">
        <f>"733974026"</f>
        <v>733974026</v>
      </c>
      <c r="P50" s="1" t="str">
        <f t="shared" si="8"/>
        <v/>
      </c>
      <c r="Q50" s="1">
        <v>4.01026369E8</v>
      </c>
      <c r="R50" s="1" t="str">
        <f>"0401026369"</f>
        <v>0401026369</v>
      </c>
      <c r="S50" s="1" t="s">
        <v>408</v>
      </c>
      <c r="T50" s="1" t="s">
        <v>37</v>
      </c>
      <c r="U50" s="1" t="s">
        <v>38</v>
      </c>
      <c r="V50" s="1" t="s">
        <v>50</v>
      </c>
      <c r="W50" s="1" t="s">
        <v>409</v>
      </c>
      <c r="X50" s="1">
        <v>13.0</v>
      </c>
      <c r="Y50" s="1">
        <v>14.0</v>
      </c>
      <c r="Z50" s="1">
        <v>2.0</v>
      </c>
      <c r="AA50" s="1" t="s">
        <v>41</v>
      </c>
    </row>
    <row r="51" ht="15.75" customHeight="1">
      <c r="A51" s="1" t="s">
        <v>410</v>
      </c>
      <c r="B51" s="1" t="s">
        <v>411</v>
      </c>
      <c r="C51" s="1" t="s">
        <v>412</v>
      </c>
      <c r="D51" s="1" t="s">
        <v>413</v>
      </c>
      <c r="E51" s="1" t="s">
        <v>96</v>
      </c>
      <c r="I51" s="1" t="s">
        <v>414</v>
      </c>
      <c r="J51" s="1" t="s">
        <v>415</v>
      </c>
      <c r="K51" s="1">
        <v>4227.0</v>
      </c>
      <c r="L51" s="1" t="s">
        <v>35</v>
      </c>
      <c r="M51" s="1">
        <v>4.50716718E8</v>
      </c>
      <c r="N51" s="1" t="str">
        <f>"450716718"</f>
        <v>450716718</v>
      </c>
      <c r="P51" s="1" t="str">
        <f t="shared" si="8"/>
        <v/>
      </c>
      <c r="Q51" s="1">
        <v>4.50716718E8</v>
      </c>
      <c r="R51" s="1" t="str">
        <f>"0450716718"</f>
        <v>0450716718</v>
      </c>
      <c r="S51" s="1" t="s">
        <v>416</v>
      </c>
      <c r="T51" s="1" t="s">
        <v>37</v>
      </c>
      <c r="U51" s="1" t="s">
        <v>38</v>
      </c>
      <c r="V51" s="1" t="s">
        <v>417</v>
      </c>
      <c r="W51" s="1" t="s">
        <v>108</v>
      </c>
      <c r="X51" s="1">
        <v>6.0</v>
      </c>
      <c r="Y51" s="1">
        <v>7.0</v>
      </c>
      <c r="Z51" s="1">
        <v>2.0</v>
      </c>
      <c r="AA51" s="1" t="s">
        <v>41</v>
      </c>
    </row>
    <row r="52" ht="15.75" customHeight="1">
      <c r="A52" s="1" t="s">
        <v>418</v>
      </c>
      <c r="B52" s="1" t="s">
        <v>419</v>
      </c>
      <c r="C52" s="1" t="s">
        <v>420</v>
      </c>
      <c r="D52" s="1" t="s">
        <v>421</v>
      </c>
      <c r="E52" s="1" t="s">
        <v>422</v>
      </c>
      <c r="I52" s="1" t="s">
        <v>423</v>
      </c>
      <c r="J52" s="1" t="s">
        <v>377</v>
      </c>
      <c r="K52" s="1">
        <v>4215.0</v>
      </c>
      <c r="L52" s="1" t="s">
        <v>35</v>
      </c>
      <c r="M52" s="1">
        <v>4.51990347E8</v>
      </c>
      <c r="N52" s="1" t="str">
        <f>"451990347"</f>
        <v>451990347</v>
      </c>
      <c r="P52" s="1" t="str">
        <f t="shared" si="8"/>
        <v/>
      </c>
      <c r="Q52" s="1">
        <v>4.51990347E8</v>
      </c>
      <c r="R52" s="1" t="str">
        <f>"0451990347"</f>
        <v>0451990347</v>
      </c>
      <c r="S52" s="1" t="s">
        <v>424</v>
      </c>
      <c r="T52" s="1" t="s">
        <v>37</v>
      </c>
      <c r="U52" s="1" t="s">
        <v>38</v>
      </c>
      <c r="V52" s="1" t="s">
        <v>50</v>
      </c>
      <c r="W52" s="1" t="s">
        <v>51</v>
      </c>
      <c r="X52" s="1">
        <v>13.0</v>
      </c>
      <c r="Y52" s="1">
        <v>14.0</v>
      </c>
      <c r="Z52" s="1">
        <v>2.0</v>
      </c>
      <c r="AA52" s="1" t="s">
        <v>41</v>
      </c>
    </row>
    <row r="53" ht="15.75" customHeight="1">
      <c r="A53" s="1" t="s">
        <v>425</v>
      </c>
      <c r="B53" s="1" t="s">
        <v>426</v>
      </c>
      <c r="C53" s="1" t="s">
        <v>427</v>
      </c>
      <c r="D53" s="1" t="s">
        <v>428</v>
      </c>
      <c r="E53" s="1" t="s">
        <v>179</v>
      </c>
      <c r="G53" s="1" t="s">
        <v>429</v>
      </c>
      <c r="I53" s="1" t="s">
        <v>430</v>
      </c>
      <c r="J53" s="1" t="s">
        <v>431</v>
      </c>
      <c r="K53" s="1">
        <v>4005.0</v>
      </c>
      <c r="L53" s="1" t="s">
        <v>35</v>
      </c>
      <c r="M53" s="1">
        <v>4.68962155E8</v>
      </c>
      <c r="N53" s="1" t="str">
        <f>"468962155"</f>
        <v>468962155</v>
      </c>
      <c r="P53" s="1" t="str">
        <f t="shared" si="8"/>
        <v/>
      </c>
      <c r="R53" s="1" t="str">
        <f t="shared" ref="R53:R54" si="11">""</f>
        <v/>
      </c>
      <c r="S53" s="1" t="s">
        <v>432</v>
      </c>
      <c r="T53" s="1" t="s">
        <v>37</v>
      </c>
      <c r="U53" s="1" t="s">
        <v>38</v>
      </c>
      <c r="V53" s="1" t="s">
        <v>50</v>
      </c>
      <c r="W53" s="1" t="s">
        <v>433</v>
      </c>
      <c r="X53" s="1">
        <v>21.0</v>
      </c>
      <c r="Y53" s="1">
        <v>24.0</v>
      </c>
      <c r="Z53" s="1">
        <v>4.0</v>
      </c>
      <c r="AA53" s="1" t="s">
        <v>41</v>
      </c>
    </row>
    <row r="54" ht="15.75" customHeight="1">
      <c r="A54" s="1" t="s">
        <v>434</v>
      </c>
      <c r="B54" s="1" t="s">
        <v>435</v>
      </c>
      <c r="C54" s="1" t="s">
        <v>436</v>
      </c>
      <c r="D54" s="1" t="s">
        <v>437</v>
      </c>
      <c r="E54" s="1" t="s">
        <v>438</v>
      </c>
      <c r="I54" s="1" t="s">
        <v>439</v>
      </c>
      <c r="J54" s="1" t="s">
        <v>440</v>
      </c>
      <c r="K54" s="1">
        <v>4110.0</v>
      </c>
      <c r="L54" s="1" t="s">
        <v>35</v>
      </c>
      <c r="M54" s="1">
        <v>4.78072871E8</v>
      </c>
      <c r="N54" s="1" t="str">
        <f>"478072871"</f>
        <v>478072871</v>
      </c>
      <c r="P54" s="1" t="str">
        <f t="shared" si="8"/>
        <v/>
      </c>
      <c r="R54" s="1" t="str">
        <f t="shared" si="11"/>
        <v/>
      </c>
      <c r="S54" s="1" t="s">
        <v>441</v>
      </c>
      <c r="T54" s="1" t="s">
        <v>37</v>
      </c>
      <c r="U54" s="1" t="s">
        <v>38</v>
      </c>
      <c r="V54" s="1" t="s">
        <v>50</v>
      </c>
      <c r="W54" s="1" t="s">
        <v>433</v>
      </c>
      <c r="X54" s="1">
        <v>13.0</v>
      </c>
      <c r="Y54" s="1">
        <v>15.0</v>
      </c>
      <c r="Z54" s="1">
        <v>3.0</v>
      </c>
      <c r="AA54" s="1" t="s">
        <v>41</v>
      </c>
    </row>
    <row r="55" ht="15.75" customHeight="1">
      <c r="A55" s="1" t="s">
        <v>442</v>
      </c>
      <c r="B55" s="1" t="s">
        <v>443</v>
      </c>
      <c r="C55" s="1" t="s">
        <v>444</v>
      </c>
      <c r="D55" s="1" t="s">
        <v>445</v>
      </c>
      <c r="E55" s="1" t="s">
        <v>446</v>
      </c>
      <c r="I55" s="1" t="s">
        <v>447</v>
      </c>
      <c r="J55" s="1" t="s">
        <v>124</v>
      </c>
      <c r="K55" s="1">
        <v>4069.0</v>
      </c>
      <c r="L55" s="1" t="s">
        <v>35</v>
      </c>
      <c r="M55" s="1">
        <v>7.31607268E8</v>
      </c>
      <c r="N55" s="1" t="str">
        <f>"731607268"</f>
        <v>731607268</v>
      </c>
      <c r="P55" s="1" t="str">
        <f t="shared" si="8"/>
        <v/>
      </c>
      <c r="Q55" s="1">
        <v>4.5728073E8</v>
      </c>
      <c r="R55" s="1" t="str">
        <f>"0457280730"</f>
        <v>0457280730</v>
      </c>
      <c r="S55" s="1" t="s">
        <v>448</v>
      </c>
      <c r="T55" s="1" t="s">
        <v>37</v>
      </c>
      <c r="U55" s="1" t="s">
        <v>38</v>
      </c>
      <c r="V55" s="1" t="s">
        <v>50</v>
      </c>
      <c r="W55" s="1" t="s">
        <v>51</v>
      </c>
      <c r="X55" s="1">
        <v>29.0</v>
      </c>
      <c r="Y55" s="1">
        <v>30.0</v>
      </c>
      <c r="Z55" s="1">
        <v>2.0</v>
      </c>
      <c r="AA55" s="1" t="s">
        <v>41</v>
      </c>
    </row>
    <row r="56" ht="15.75" customHeight="1">
      <c r="A56" s="1" t="s">
        <v>449</v>
      </c>
      <c r="B56" s="1" t="s">
        <v>450</v>
      </c>
      <c r="C56" s="1" t="s">
        <v>451</v>
      </c>
      <c r="D56" s="1" t="s">
        <v>452</v>
      </c>
      <c r="E56" s="1" t="s">
        <v>453</v>
      </c>
      <c r="I56" s="1" t="s">
        <v>454</v>
      </c>
      <c r="J56" s="1" t="s">
        <v>455</v>
      </c>
      <c r="K56" s="1">
        <v>4211.0</v>
      </c>
      <c r="L56" s="1" t="s">
        <v>35</v>
      </c>
      <c r="M56" s="1">
        <v>4.24393043E8</v>
      </c>
      <c r="N56" s="1" t="str">
        <f>"424393043"</f>
        <v>424393043</v>
      </c>
      <c r="P56" s="1" t="str">
        <f t="shared" si="8"/>
        <v/>
      </c>
      <c r="Q56" s="1">
        <v>4.24393043E8</v>
      </c>
      <c r="R56" s="1" t="str">
        <f>"0424393043"</f>
        <v>0424393043</v>
      </c>
      <c r="S56" s="1" t="s">
        <v>456</v>
      </c>
      <c r="T56" s="1" t="s">
        <v>37</v>
      </c>
      <c r="U56" s="1" t="s">
        <v>38</v>
      </c>
      <c r="V56" s="1" t="s">
        <v>50</v>
      </c>
      <c r="W56" s="1" t="s">
        <v>345</v>
      </c>
      <c r="X56" s="1">
        <v>22.0</v>
      </c>
      <c r="Y56" s="1">
        <v>23.0</v>
      </c>
      <c r="Z56" s="1">
        <v>2.0</v>
      </c>
      <c r="AA56" s="1" t="s">
        <v>41</v>
      </c>
    </row>
    <row r="57" ht="15.75" customHeight="1">
      <c r="A57" s="1" t="s">
        <v>457</v>
      </c>
      <c r="B57" s="1" t="s">
        <v>458</v>
      </c>
      <c r="C57" s="1" t="s">
        <v>459</v>
      </c>
      <c r="D57" s="1" t="s">
        <v>460</v>
      </c>
      <c r="E57" s="1" t="s">
        <v>461</v>
      </c>
      <c r="I57" s="1" t="s">
        <v>462</v>
      </c>
      <c r="J57" s="1" t="s">
        <v>463</v>
      </c>
      <c r="K57" s="1">
        <v>4178.0</v>
      </c>
      <c r="L57" s="1" t="s">
        <v>35</v>
      </c>
      <c r="M57" s="1">
        <v>7.3393525E8</v>
      </c>
      <c r="N57" s="1" t="str">
        <f>"733935250"</f>
        <v>733935250</v>
      </c>
      <c r="P57" s="1" t="str">
        <f t="shared" si="8"/>
        <v/>
      </c>
      <c r="Q57" s="1">
        <v>4.09621014E8</v>
      </c>
      <c r="R57" s="1" t="str">
        <f>"0409621014"</f>
        <v>0409621014</v>
      </c>
      <c r="S57" s="1" t="s">
        <v>464</v>
      </c>
      <c r="T57" s="1" t="s">
        <v>37</v>
      </c>
      <c r="U57" s="1" t="s">
        <v>38</v>
      </c>
      <c r="V57" s="1" t="s">
        <v>50</v>
      </c>
      <c r="W57" s="1" t="s">
        <v>345</v>
      </c>
      <c r="X57" s="1">
        <v>24.0</v>
      </c>
      <c r="Y57" s="1">
        <v>25.0</v>
      </c>
      <c r="Z57" s="1">
        <v>2.0</v>
      </c>
      <c r="AA57" s="1" t="s">
        <v>41</v>
      </c>
    </row>
    <row r="58" ht="15.75" customHeight="1">
      <c r="A58" s="1" t="s">
        <v>465</v>
      </c>
      <c r="B58" s="1" t="s">
        <v>466</v>
      </c>
      <c r="C58" s="1" t="s">
        <v>467</v>
      </c>
      <c r="D58" s="1" t="s">
        <v>468</v>
      </c>
      <c r="E58" s="1" t="s">
        <v>469</v>
      </c>
      <c r="I58" s="1" t="s">
        <v>470</v>
      </c>
      <c r="J58" s="1" t="s">
        <v>471</v>
      </c>
      <c r="K58" s="1">
        <v>3018.0</v>
      </c>
      <c r="L58" s="1" t="s">
        <v>35</v>
      </c>
      <c r="M58" s="1">
        <v>7.46136404E8</v>
      </c>
      <c r="N58" s="1" t="str">
        <f>"746136404"</f>
        <v>746136404</v>
      </c>
      <c r="P58" s="1" t="str">
        <f t="shared" si="8"/>
        <v/>
      </c>
      <c r="Q58" s="1">
        <v>4.06176148E8</v>
      </c>
      <c r="R58" s="1" t="str">
        <f>"0406176148"</f>
        <v>0406176148</v>
      </c>
      <c r="S58" s="1" t="s">
        <v>472</v>
      </c>
      <c r="T58" s="1" t="s">
        <v>37</v>
      </c>
      <c r="U58" s="1" t="s">
        <v>38</v>
      </c>
      <c r="V58" s="1" t="s">
        <v>50</v>
      </c>
      <c r="W58" s="1" t="s">
        <v>126</v>
      </c>
      <c r="X58" s="1">
        <v>15.0</v>
      </c>
      <c r="Y58" s="1">
        <v>15.0</v>
      </c>
      <c r="Z58" s="1">
        <v>1.0</v>
      </c>
      <c r="AA58" s="1" t="s">
        <v>41</v>
      </c>
    </row>
    <row r="59" ht="15.75" customHeight="1">
      <c r="A59" s="1" t="s">
        <v>473</v>
      </c>
      <c r="B59" s="1" t="s">
        <v>474</v>
      </c>
      <c r="C59" s="1" t="s">
        <v>475</v>
      </c>
      <c r="D59" s="1" t="s">
        <v>476</v>
      </c>
      <c r="E59" s="1" t="s">
        <v>477</v>
      </c>
      <c r="I59" s="1" t="s">
        <v>478</v>
      </c>
      <c r="J59" s="1" t="s">
        <v>479</v>
      </c>
      <c r="K59" s="1">
        <v>4151.0</v>
      </c>
      <c r="L59" s="1" t="s">
        <v>35</v>
      </c>
      <c r="M59" s="1">
        <v>4.21392613E8</v>
      </c>
      <c r="N59" s="1" t="str">
        <f>"421392613"</f>
        <v>421392613</v>
      </c>
      <c r="P59" s="1" t="str">
        <f t="shared" si="8"/>
        <v/>
      </c>
      <c r="Q59" s="1">
        <v>4.21392613E8</v>
      </c>
      <c r="R59" s="1" t="str">
        <f>"0421392613"</f>
        <v>0421392613</v>
      </c>
      <c r="S59" s="1" t="s">
        <v>480</v>
      </c>
      <c r="T59" s="1" t="s">
        <v>37</v>
      </c>
      <c r="U59" s="1" t="s">
        <v>38</v>
      </c>
      <c r="V59" s="1" t="s">
        <v>481</v>
      </c>
      <c r="W59" s="1" t="s">
        <v>144</v>
      </c>
      <c r="X59" s="1">
        <v>31.0</v>
      </c>
      <c r="Y59" s="1">
        <v>32.0</v>
      </c>
      <c r="Z59" s="1">
        <v>2.0</v>
      </c>
      <c r="AA59" s="1" t="s">
        <v>41</v>
      </c>
    </row>
    <row r="60" ht="15.75" customHeight="1">
      <c r="A60" s="1" t="s">
        <v>482</v>
      </c>
      <c r="B60" s="1" t="s">
        <v>483</v>
      </c>
      <c r="C60" s="1" t="s">
        <v>484</v>
      </c>
      <c r="D60" s="1" t="s">
        <v>485</v>
      </c>
      <c r="E60" s="1" t="s">
        <v>486</v>
      </c>
      <c r="I60" s="1" t="s">
        <v>487</v>
      </c>
      <c r="J60" s="1" t="s">
        <v>488</v>
      </c>
      <c r="K60" s="1">
        <v>4159.0</v>
      </c>
      <c r="L60" s="1" t="s">
        <v>35</v>
      </c>
      <c r="M60" s="1">
        <v>4.03401231E8</v>
      </c>
      <c r="N60" s="1" t="str">
        <f>"403401231"</f>
        <v>403401231</v>
      </c>
      <c r="P60" s="1" t="str">
        <f t="shared" si="8"/>
        <v/>
      </c>
      <c r="Q60" s="1">
        <v>4.03401231E8</v>
      </c>
      <c r="R60" s="1" t="str">
        <f>"0403401231"</f>
        <v>0403401231</v>
      </c>
      <c r="S60" s="1" t="s">
        <v>489</v>
      </c>
      <c r="T60" s="1" t="s">
        <v>37</v>
      </c>
      <c r="U60" s="1" t="s">
        <v>38</v>
      </c>
      <c r="V60" s="1" t="s">
        <v>481</v>
      </c>
      <c r="W60" s="1" t="s">
        <v>199</v>
      </c>
      <c r="X60" s="1">
        <v>31.0</v>
      </c>
      <c r="Y60" s="1">
        <v>34.0</v>
      </c>
      <c r="Z60" s="1">
        <v>4.0</v>
      </c>
      <c r="AA60" s="1" t="s">
        <v>41</v>
      </c>
    </row>
    <row r="61" ht="15.75" customHeight="1">
      <c r="A61" s="1" t="s">
        <v>490</v>
      </c>
      <c r="B61" s="1" t="s">
        <v>491</v>
      </c>
      <c r="C61" s="1" t="s">
        <v>492</v>
      </c>
      <c r="D61" s="1" t="s">
        <v>493</v>
      </c>
      <c r="E61" s="1" t="s">
        <v>494</v>
      </c>
      <c r="I61" s="1" t="s">
        <v>495</v>
      </c>
      <c r="J61" s="1" t="s">
        <v>496</v>
      </c>
      <c r="K61" s="1">
        <v>4121.0</v>
      </c>
      <c r="L61" s="1" t="s">
        <v>35</v>
      </c>
      <c r="M61" s="1">
        <v>4.20923509E8</v>
      </c>
      <c r="N61" s="1" t="str">
        <f>"420923509"</f>
        <v>420923509</v>
      </c>
      <c r="P61" s="1" t="str">
        <f t="shared" si="8"/>
        <v/>
      </c>
      <c r="Q61" s="1">
        <v>4.20923509E8</v>
      </c>
      <c r="R61" s="1" t="str">
        <f>"0420923509"</f>
        <v>0420923509</v>
      </c>
      <c r="S61" s="1" t="s">
        <v>497</v>
      </c>
      <c r="T61" s="1" t="s">
        <v>37</v>
      </c>
      <c r="U61" s="1" t="s">
        <v>38</v>
      </c>
      <c r="V61" s="1" t="s">
        <v>498</v>
      </c>
      <c r="W61" s="1" t="s">
        <v>199</v>
      </c>
      <c r="X61" s="1">
        <v>5.0</v>
      </c>
      <c r="Y61" s="1">
        <v>5.0</v>
      </c>
      <c r="Z61" s="1">
        <v>1.0</v>
      </c>
      <c r="AA61" s="1" t="s">
        <v>41</v>
      </c>
    </row>
    <row r="62" ht="15.75" customHeight="1">
      <c r="A62" s="1" t="s">
        <v>499</v>
      </c>
      <c r="B62" s="1" t="s">
        <v>500</v>
      </c>
      <c r="C62" s="1" t="s">
        <v>501</v>
      </c>
      <c r="D62" s="1" t="s">
        <v>502</v>
      </c>
      <c r="E62" s="1" t="s">
        <v>392</v>
      </c>
      <c r="I62" s="1" t="s">
        <v>503</v>
      </c>
      <c r="J62" s="1" t="s">
        <v>504</v>
      </c>
      <c r="K62" s="1">
        <v>4069.0</v>
      </c>
      <c r="L62" s="1" t="s">
        <v>35</v>
      </c>
      <c r="M62" s="1">
        <v>4.51453445E8</v>
      </c>
      <c r="N62" s="1" t="str">
        <f>"451453445"</f>
        <v>451453445</v>
      </c>
      <c r="P62" s="1" t="str">
        <f t="shared" si="8"/>
        <v/>
      </c>
      <c r="Q62" s="1">
        <v>4.51453445E8</v>
      </c>
      <c r="R62" s="1" t="str">
        <f>"0451453445"</f>
        <v>0451453445</v>
      </c>
      <c r="S62" s="1" t="s">
        <v>505</v>
      </c>
      <c r="T62" s="1" t="s">
        <v>37</v>
      </c>
      <c r="U62" s="1" t="s">
        <v>38</v>
      </c>
      <c r="V62" s="1" t="s">
        <v>50</v>
      </c>
      <c r="W62" s="1" t="s">
        <v>144</v>
      </c>
      <c r="X62" s="1">
        <v>11.0</v>
      </c>
      <c r="Y62" s="1">
        <v>12.0</v>
      </c>
      <c r="Z62" s="1">
        <v>2.0</v>
      </c>
      <c r="AA62" s="1" t="s">
        <v>41</v>
      </c>
    </row>
    <row r="63" ht="15.75" customHeight="1">
      <c r="A63" s="1" t="s">
        <v>506</v>
      </c>
      <c r="B63" s="1" t="s">
        <v>507</v>
      </c>
      <c r="C63" s="1" t="s">
        <v>508</v>
      </c>
      <c r="D63" s="1" t="s">
        <v>509</v>
      </c>
      <c r="E63" s="1" t="s">
        <v>510</v>
      </c>
      <c r="I63" s="1" t="s">
        <v>511</v>
      </c>
      <c r="J63" s="1" t="s">
        <v>512</v>
      </c>
      <c r="K63" s="1">
        <v>4000.0</v>
      </c>
      <c r="L63" s="1" t="s">
        <v>35</v>
      </c>
      <c r="M63" s="1">
        <v>4.97080743E8</v>
      </c>
      <c r="N63" s="1" t="str">
        <f>"497080743"</f>
        <v>497080743</v>
      </c>
      <c r="P63" s="1" t="str">
        <f t="shared" si="8"/>
        <v/>
      </c>
      <c r="R63" s="1" t="str">
        <f>""</f>
        <v/>
      </c>
      <c r="S63" s="1" t="s">
        <v>513</v>
      </c>
      <c r="T63" s="1" t="s">
        <v>37</v>
      </c>
      <c r="U63" s="1" t="s">
        <v>38</v>
      </c>
      <c r="V63" s="1" t="s">
        <v>498</v>
      </c>
      <c r="W63" s="1" t="s">
        <v>199</v>
      </c>
      <c r="X63" s="1">
        <v>6.0</v>
      </c>
      <c r="Y63" s="1">
        <v>7.0</v>
      </c>
      <c r="Z63" s="1">
        <v>2.0</v>
      </c>
      <c r="AA63" s="1" t="s">
        <v>41</v>
      </c>
    </row>
    <row r="64" ht="15.75" customHeight="1">
      <c r="A64" s="1" t="s">
        <v>514</v>
      </c>
      <c r="B64" s="1" t="s">
        <v>515</v>
      </c>
      <c r="C64" s="1" t="s">
        <v>516</v>
      </c>
      <c r="D64" s="1" t="s">
        <v>517</v>
      </c>
      <c r="E64" s="1" t="s">
        <v>518</v>
      </c>
      <c r="I64" s="1" t="s">
        <v>519</v>
      </c>
      <c r="J64" s="1" t="s">
        <v>520</v>
      </c>
      <c r="K64" s="1">
        <v>4114.0</v>
      </c>
      <c r="L64" s="1" t="s">
        <v>35</v>
      </c>
      <c r="M64" s="1">
        <v>4.51029739E8</v>
      </c>
      <c r="N64" s="1" t="str">
        <f>"451029739"</f>
        <v>451029739</v>
      </c>
      <c r="P64" s="1" t="str">
        <f t="shared" si="8"/>
        <v/>
      </c>
      <c r="Q64" s="1">
        <v>4.51029739E8</v>
      </c>
      <c r="R64" s="1" t="str">
        <f>"0451029739"</f>
        <v>0451029739</v>
      </c>
      <c r="S64" s="1" t="s">
        <v>521</v>
      </c>
      <c r="T64" s="1" t="s">
        <v>37</v>
      </c>
      <c r="U64" s="1" t="s">
        <v>38</v>
      </c>
      <c r="V64" s="1" t="s">
        <v>50</v>
      </c>
      <c r="W64" s="1" t="s">
        <v>51</v>
      </c>
      <c r="X64" s="1">
        <v>27.0</v>
      </c>
      <c r="Y64" s="1">
        <v>28.0</v>
      </c>
      <c r="Z64" s="1">
        <v>2.0</v>
      </c>
      <c r="AA64" s="1" t="s">
        <v>41</v>
      </c>
    </row>
    <row r="65" ht="15.75" customHeight="1">
      <c r="A65" s="1" t="s">
        <v>522</v>
      </c>
      <c r="B65" s="1" t="s">
        <v>523</v>
      </c>
      <c r="C65" s="1" t="s">
        <v>524</v>
      </c>
      <c r="D65" s="1" t="s">
        <v>525</v>
      </c>
      <c r="E65" s="1" t="s">
        <v>526</v>
      </c>
      <c r="I65" s="1" t="s">
        <v>527</v>
      </c>
      <c r="J65" s="1" t="s">
        <v>528</v>
      </c>
      <c r="K65" s="1">
        <v>4152.0</v>
      </c>
      <c r="L65" s="1" t="s">
        <v>35</v>
      </c>
      <c r="M65" s="1">
        <v>4.2179914E8</v>
      </c>
      <c r="N65" s="1" t="str">
        <f>"421799140"</f>
        <v>421799140</v>
      </c>
      <c r="P65" s="1" t="str">
        <f t="shared" si="8"/>
        <v/>
      </c>
      <c r="R65" s="1" t="str">
        <f t="shared" ref="R65:R76" si="12">""</f>
        <v/>
      </c>
      <c r="S65" s="1" t="s">
        <v>529</v>
      </c>
      <c r="T65" s="1" t="s">
        <v>37</v>
      </c>
      <c r="U65" s="1" t="s">
        <v>38</v>
      </c>
      <c r="V65" s="1" t="s">
        <v>224</v>
      </c>
      <c r="W65" s="1" t="s">
        <v>190</v>
      </c>
      <c r="X65" s="1">
        <v>19.0</v>
      </c>
      <c r="Y65" s="1">
        <v>22.0</v>
      </c>
      <c r="Z65" s="1">
        <v>4.0</v>
      </c>
      <c r="AA65" s="1" t="s">
        <v>41</v>
      </c>
    </row>
    <row r="66" ht="15.75" customHeight="1">
      <c r="A66" s="1" t="s">
        <v>530</v>
      </c>
      <c r="B66" s="1" t="s">
        <v>531</v>
      </c>
      <c r="C66" s="1" t="s">
        <v>532</v>
      </c>
      <c r="D66" s="1" t="s">
        <v>533</v>
      </c>
      <c r="E66" s="1" t="s">
        <v>534</v>
      </c>
      <c r="I66" s="1" t="s">
        <v>535</v>
      </c>
      <c r="J66" s="1" t="s">
        <v>239</v>
      </c>
      <c r="K66" s="1">
        <v>4068.0</v>
      </c>
      <c r="L66" s="1" t="s">
        <v>35</v>
      </c>
      <c r="M66" s="1">
        <v>4.20560442E8</v>
      </c>
      <c r="N66" s="1" t="str">
        <f>"420560442"</f>
        <v>420560442</v>
      </c>
      <c r="P66" s="1" t="str">
        <f t="shared" si="8"/>
        <v/>
      </c>
      <c r="R66" s="1" t="str">
        <f t="shared" si="12"/>
        <v/>
      </c>
      <c r="S66" s="1" t="s">
        <v>536</v>
      </c>
      <c r="T66" s="1" t="s">
        <v>37</v>
      </c>
      <c r="U66" s="1" t="s">
        <v>38</v>
      </c>
      <c r="V66" s="1" t="s">
        <v>50</v>
      </c>
      <c r="W66" s="1" t="s">
        <v>108</v>
      </c>
      <c r="X66" s="1">
        <v>14.0</v>
      </c>
      <c r="Y66" s="1">
        <v>14.0</v>
      </c>
      <c r="Z66" s="1">
        <v>1.0</v>
      </c>
      <c r="AA66" s="1" t="s">
        <v>41</v>
      </c>
    </row>
    <row r="67" ht="15.75" customHeight="1">
      <c r="A67" s="1" t="s">
        <v>537</v>
      </c>
      <c r="B67" s="1" t="s">
        <v>538</v>
      </c>
      <c r="C67" s="1" t="s">
        <v>539</v>
      </c>
      <c r="D67" s="1" t="s">
        <v>540</v>
      </c>
      <c r="E67" s="1" t="s">
        <v>541</v>
      </c>
      <c r="I67" s="1" t="s">
        <v>542</v>
      </c>
      <c r="J67" s="1" t="s">
        <v>206</v>
      </c>
      <c r="K67" s="1">
        <v>4035.0</v>
      </c>
      <c r="L67" s="1" t="s">
        <v>35</v>
      </c>
      <c r="M67" s="1">
        <v>4.02704875E8</v>
      </c>
      <c r="N67" s="1" t="str">
        <f>"402704875"</f>
        <v>402704875</v>
      </c>
      <c r="P67" s="1" t="str">
        <f t="shared" si="8"/>
        <v/>
      </c>
      <c r="R67" s="1" t="str">
        <f t="shared" si="12"/>
        <v/>
      </c>
      <c r="S67" s="1" t="s">
        <v>543</v>
      </c>
      <c r="T67" s="1" t="s">
        <v>37</v>
      </c>
      <c r="U67" s="1" t="s">
        <v>38</v>
      </c>
      <c r="V67" s="1" t="s">
        <v>50</v>
      </c>
      <c r="W67" s="1" t="s">
        <v>544</v>
      </c>
      <c r="X67" s="1">
        <v>15.0</v>
      </c>
      <c r="Y67" s="1">
        <v>18.0</v>
      </c>
      <c r="Z67" s="1">
        <v>4.0</v>
      </c>
      <c r="AA67" s="1" t="s">
        <v>41</v>
      </c>
    </row>
    <row r="68" ht="15.75" customHeight="1">
      <c r="A68" s="1" t="s">
        <v>545</v>
      </c>
      <c r="B68" s="1" t="s">
        <v>546</v>
      </c>
      <c r="C68" s="1" t="s">
        <v>547</v>
      </c>
      <c r="D68" s="1" t="s">
        <v>548</v>
      </c>
      <c r="E68" s="1" t="s">
        <v>549</v>
      </c>
      <c r="I68" s="1" t="s">
        <v>550</v>
      </c>
      <c r="J68" s="1" t="s">
        <v>551</v>
      </c>
      <c r="K68" s="1">
        <v>4109.0</v>
      </c>
      <c r="L68" s="1" t="s">
        <v>35</v>
      </c>
      <c r="M68" s="1">
        <v>4.3200947E8</v>
      </c>
      <c r="N68" s="1" t="str">
        <f>"432009470"</f>
        <v>432009470</v>
      </c>
      <c r="P68" s="1" t="str">
        <f t="shared" si="8"/>
        <v/>
      </c>
      <c r="R68" s="1" t="str">
        <f t="shared" si="12"/>
        <v/>
      </c>
      <c r="S68" s="1" t="s">
        <v>552</v>
      </c>
      <c r="T68" s="1" t="s">
        <v>37</v>
      </c>
      <c r="U68" s="1" t="s">
        <v>38</v>
      </c>
      <c r="V68" s="1" t="s">
        <v>50</v>
      </c>
      <c r="W68" s="1" t="s">
        <v>544</v>
      </c>
      <c r="X68" s="1">
        <v>13.0</v>
      </c>
      <c r="Y68" s="1">
        <v>14.0</v>
      </c>
      <c r="Z68" s="1">
        <v>2.0</v>
      </c>
      <c r="AA68" s="1" t="s">
        <v>41</v>
      </c>
    </row>
    <row r="69" ht="15.75" customHeight="1">
      <c r="A69" s="1" t="s">
        <v>553</v>
      </c>
      <c r="B69" s="1" t="s">
        <v>554</v>
      </c>
      <c r="C69" s="1" t="s">
        <v>555</v>
      </c>
      <c r="D69" s="1" t="s">
        <v>556</v>
      </c>
      <c r="E69" s="1" t="s">
        <v>557</v>
      </c>
      <c r="I69" s="1" t="s">
        <v>558</v>
      </c>
      <c r="J69" s="1" t="s">
        <v>124</v>
      </c>
      <c r="K69" s="1">
        <v>4069.0</v>
      </c>
      <c r="L69" s="1" t="s">
        <v>35</v>
      </c>
      <c r="M69" s="1">
        <v>6.148129257E9</v>
      </c>
      <c r="N69" s="1" t="str">
        <f>"6148129257"</f>
        <v>6148129257</v>
      </c>
      <c r="O69" s="1">
        <v>5.0</v>
      </c>
      <c r="P69" s="1" t="str">
        <f>"5"</f>
        <v>5</v>
      </c>
      <c r="R69" s="1" t="str">
        <f t="shared" si="12"/>
        <v/>
      </c>
      <c r="S69" s="1" t="s">
        <v>559</v>
      </c>
      <c r="T69" s="1" t="s">
        <v>37</v>
      </c>
      <c r="U69" s="1" t="s">
        <v>38</v>
      </c>
      <c r="V69" s="1" t="s">
        <v>50</v>
      </c>
      <c r="W69" s="1" t="s">
        <v>433</v>
      </c>
      <c r="X69" s="1">
        <v>27.0</v>
      </c>
      <c r="Y69" s="1">
        <v>28.0</v>
      </c>
      <c r="Z69" s="1">
        <v>2.0</v>
      </c>
      <c r="AA69" s="1" t="s">
        <v>41</v>
      </c>
    </row>
    <row r="70" ht="15.75" customHeight="1">
      <c r="A70" s="1" t="s">
        <v>560</v>
      </c>
      <c r="B70" s="1" t="s">
        <v>561</v>
      </c>
      <c r="C70" s="1" t="s">
        <v>562</v>
      </c>
      <c r="D70" s="1" t="s">
        <v>563</v>
      </c>
      <c r="E70" s="1" t="s">
        <v>564</v>
      </c>
      <c r="I70" s="1" t="s">
        <v>565</v>
      </c>
      <c r="J70" s="1" t="s">
        <v>566</v>
      </c>
      <c r="K70" s="1">
        <v>4070.0</v>
      </c>
      <c r="L70" s="1" t="s">
        <v>35</v>
      </c>
      <c r="M70" s="1">
        <v>4.13974275E8</v>
      </c>
      <c r="N70" s="1" t="str">
        <f>"413974275"</f>
        <v>413974275</v>
      </c>
      <c r="P70" s="1" t="str">
        <f t="shared" ref="P70:P78" si="13">""</f>
        <v/>
      </c>
      <c r="R70" s="1" t="str">
        <f t="shared" si="12"/>
        <v/>
      </c>
      <c r="S70" s="1" t="s">
        <v>567</v>
      </c>
      <c r="T70" s="1" t="s">
        <v>37</v>
      </c>
      <c r="U70" s="1" t="s">
        <v>38</v>
      </c>
      <c r="V70" s="1" t="s">
        <v>417</v>
      </c>
      <c r="W70" s="1" t="s">
        <v>199</v>
      </c>
      <c r="X70" s="1">
        <v>4.0</v>
      </c>
      <c r="Y70" s="1">
        <v>7.0</v>
      </c>
      <c r="Z70" s="1">
        <v>4.0</v>
      </c>
      <c r="AA70" s="1" t="s">
        <v>41</v>
      </c>
    </row>
    <row r="71" ht="15.75" customHeight="1">
      <c r="A71" s="1" t="s">
        <v>568</v>
      </c>
      <c r="B71" s="1" t="s">
        <v>101</v>
      </c>
      <c r="C71" s="1" t="s">
        <v>102</v>
      </c>
      <c r="D71" s="1" t="s">
        <v>103</v>
      </c>
      <c r="E71" s="1" t="s">
        <v>104</v>
      </c>
      <c r="I71" s="1" t="s">
        <v>105</v>
      </c>
      <c r="J71" s="1" t="s">
        <v>106</v>
      </c>
      <c r="K71" s="1">
        <v>4169.0</v>
      </c>
      <c r="L71" s="1" t="s">
        <v>35</v>
      </c>
      <c r="M71" s="1">
        <v>4.16956926E8</v>
      </c>
      <c r="N71" s="1" t="str">
        <f>"416956926"</f>
        <v>416956926</v>
      </c>
      <c r="P71" s="1" t="str">
        <f t="shared" si="13"/>
        <v/>
      </c>
      <c r="R71" s="1" t="str">
        <f t="shared" si="12"/>
        <v/>
      </c>
      <c r="S71" s="1" t="s">
        <v>107</v>
      </c>
      <c r="T71" s="1" t="s">
        <v>37</v>
      </c>
      <c r="U71" s="1" t="s">
        <v>38</v>
      </c>
      <c r="V71" s="1" t="s">
        <v>50</v>
      </c>
      <c r="W71" s="1" t="s">
        <v>135</v>
      </c>
      <c r="X71" s="1">
        <v>26.0</v>
      </c>
      <c r="Y71" s="1">
        <v>26.0</v>
      </c>
      <c r="Z71" s="1">
        <v>1.0</v>
      </c>
      <c r="AA71" s="1" t="s">
        <v>41</v>
      </c>
    </row>
    <row r="72" ht="15.75" customHeight="1">
      <c r="A72" s="1" t="s">
        <v>569</v>
      </c>
      <c r="B72" s="1" t="s">
        <v>570</v>
      </c>
      <c r="C72" s="1" t="s">
        <v>571</v>
      </c>
      <c r="D72" s="1" t="s">
        <v>572</v>
      </c>
      <c r="E72" s="1" t="s">
        <v>573</v>
      </c>
      <c r="I72" s="1" t="s">
        <v>574</v>
      </c>
      <c r="J72" s="1" t="s">
        <v>479</v>
      </c>
      <c r="K72" s="1">
        <v>4151.0</v>
      </c>
      <c r="L72" s="1" t="s">
        <v>35</v>
      </c>
      <c r="M72" s="1">
        <v>4.10889929E8</v>
      </c>
      <c r="N72" s="1" t="str">
        <f>"410889929"</f>
        <v>410889929</v>
      </c>
      <c r="P72" s="1" t="str">
        <f t="shared" si="13"/>
        <v/>
      </c>
      <c r="R72" s="1" t="str">
        <f t="shared" si="12"/>
        <v/>
      </c>
      <c r="S72" s="1" t="s">
        <v>575</v>
      </c>
      <c r="T72" s="1" t="s">
        <v>37</v>
      </c>
      <c r="U72" s="1" t="s">
        <v>38</v>
      </c>
      <c r="V72" s="1" t="s">
        <v>498</v>
      </c>
      <c r="W72" s="1" t="s">
        <v>328</v>
      </c>
      <c r="X72" s="1">
        <v>3.0</v>
      </c>
      <c r="Y72" s="1">
        <v>5.0</v>
      </c>
      <c r="Z72" s="1">
        <v>3.0</v>
      </c>
      <c r="AA72" s="1" t="s">
        <v>41</v>
      </c>
    </row>
    <row r="73" ht="15.75" customHeight="1">
      <c r="A73" s="1" t="s">
        <v>576</v>
      </c>
      <c r="B73" s="1" t="s">
        <v>577</v>
      </c>
      <c r="C73" s="1" t="s">
        <v>578</v>
      </c>
      <c r="D73" s="1" t="s">
        <v>579</v>
      </c>
      <c r="E73" s="1" t="s">
        <v>375</v>
      </c>
      <c r="I73" s="1" t="s">
        <v>580</v>
      </c>
      <c r="J73" s="1" t="s">
        <v>581</v>
      </c>
      <c r="K73" s="1">
        <v>5042.0</v>
      </c>
      <c r="L73" s="1" t="s">
        <v>35</v>
      </c>
      <c r="M73" s="1">
        <v>4.81351062E8</v>
      </c>
      <c r="N73" s="1" t="str">
        <f>"481351062"</f>
        <v>481351062</v>
      </c>
      <c r="P73" s="1" t="str">
        <f t="shared" si="13"/>
        <v/>
      </c>
      <c r="R73" s="1" t="str">
        <f t="shared" si="12"/>
        <v/>
      </c>
      <c r="S73" s="1" t="s">
        <v>582</v>
      </c>
      <c r="T73" s="1" t="s">
        <v>37</v>
      </c>
      <c r="U73" s="1" t="s">
        <v>38</v>
      </c>
      <c r="V73" s="1" t="s">
        <v>498</v>
      </c>
      <c r="W73" s="1" t="s">
        <v>144</v>
      </c>
      <c r="X73" s="1">
        <v>3.0</v>
      </c>
      <c r="Y73" s="1">
        <v>5.0</v>
      </c>
      <c r="Z73" s="1">
        <v>3.0</v>
      </c>
      <c r="AA73" s="1" t="s">
        <v>41</v>
      </c>
    </row>
    <row r="74" ht="15.75" customHeight="1">
      <c r="A74" s="1" t="s">
        <v>583</v>
      </c>
      <c r="B74" s="1" t="s">
        <v>561</v>
      </c>
      <c r="C74" s="1" t="s">
        <v>562</v>
      </c>
      <c r="D74" s="1" t="s">
        <v>563</v>
      </c>
      <c r="E74" s="1" t="s">
        <v>564</v>
      </c>
      <c r="I74" s="1" t="s">
        <v>565</v>
      </c>
      <c r="J74" s="1" t="s">
        <v>566</v>
      </c>
      <c r="K74" s="1">
        <v>4070.0</v>
      </c>
      <c r="L74" s="1" t="s">
        <v>35</v>
      </c>
      <c r="M74" s="1">
        <v>4.13974275E8</v>
      </c>
      <c r="N74" s="1" t="str">
        <f>"413974275"</f>
        <v>413974275</v>
      </c>
      <c r="P74" s="1" t="str">
        <f t="shared" si="13"/>
        <v/>
      </c>
      <c r="R74" s="1" t="str">
        <f t="shared" si="12"/>
        <v/>
      </c>
      <c r="S74" s="1" t="s">
        <v>567</v>
      </c>
      <c r="T74" s="1" t="s">
        <v>37</v>
      </c>
      <c r="U74" s="1" t="s">
        <v>38</v>
      </c>
      <c r="V74" s="1" t="s">
        <v>117</v>
      </c>
      <c r="W74" s="1" t="s">
        <v>199</v>
      </c>
      <c r="X74" s="1">
        <v>31.0</v>
      </c>
      <c r="Y74" s="1">
        <v>31.0</v>
      </c>
      <c r="Z74" s="1">
        <v>1.0</v>
      </c>
      <c r="AA74" s="1" t="s">
        <v>41</v>
      </c>
    </row>
    <row r="75" ht="15.75" customHeight="1">
      <c r="A75" s="1" t="s">
        <v>584</v>
      </c>
      <c r="B75" s="1" t="s">
        <v>585</v>
      </c>
      <c r="C75" s="1" t="s">
        <v>586</v>
      </c>
      <c r="D75" s="1" t="s">
        <v>587</v>
      </c>
      <c r="E75" s="1" t="s">
        <v>588</v>
      </c>
      <c r="I75" s="1" t="s">
        <v>580</v>
      </c>
      <c r="J75" s="1" t="s">
        <v>581</v>
      </c>
      <c r="K75" s="1">
        <v>5042.0</v>
      </c>
      <c r="L75" s="1" t="s">
        <v>35</v>
      </c>
      <c r="M75" s="1">
        <v>4.81351062E8</v>
      </c>
      <c r="N75" s="1" t="str">
        <f>"481351062"</f>
        <v>481351062</v>
      </c>
      <c r="P75" s="1" t="str">
        <f t="shared" si="13"/>
        <v/>
      </c>
      <c r="R75" s="1" t="str">
        <f t="shared" si="12"/>
        <v/>
      </c>
      <c r="S75" s="1" t="s">
        <v>582</v>
      </c>
      <c r="T75" s="1" t="s">
        <v>37</v>
      </c>
      <c r="U75" s="1" t="s">
        <v>38</v>
      </c>
      <c r="V75" s="1" t="s">
        <v>498</v>
      </c>
      <c r="W75" s="1" t="s">
        <v>199</v>
      </c>
      <c r="X75" s="1">
        <v>2.0</v>
      </c>
      <c r="Y75" s="1">
        <v>4.0</v>
      </c>
      <c r="Z75" s="1">
        <v>3.0</v>
      </c>
      <c r="AA75" s="1" t="s">
        <v>41</v>
      </c>
    </row>
    <row r="76" ht="15.75" customHeight="1">
      <c r="A76" s="1" t="s">
        <v>589</v>
      </c>
      <c r="B76" s="1" t="s">
        <v>590</v>
      </c>
      <c r="C76" s="1" t="s">
        <v>591</v>
      </c>
      <c r="D76" s="1" t="s">
        <v>592</v>
      </c>
      <c r="E76" s="1" t="s">
        <v>593</v>
      </c>
      <c r="I76" s="1" t="s">
        <v>594</v>
      </c>
      <c r="J76" s="1" t="s">
        <v>595</v>
      </c>
      <c r="K76" s="1">
        <v>4073.0</v>
      </c>
      <c r="L76" s="1" t="s">
        <v>35</v>
      </c>
      <c r="M76" s="1">
        <v>4.23625542E8</v>
      </c>
      <c r="N76" s="1" t="str">
        <f>"423625542"</f>
        <v>423625542</v>
      </c>
      <c r="P76" s="1" t="str">
        <f t="shared" si="13"/>
        <v/>
      </c>
      <c r="R76" s="1" t="str">
        <f t="shared" si="12"/>
        <v/>
      </c>
      <c r="S76" s="1" t="s">
        <v>596</v>
      </c>
      <c r="T76" s="1" t="s">
        <v>37</v>
      </c>
      <c r="U76" s="1" t="s">
        <v>38</v>
      </c>
      <c r="V76" s="1" t="s">
        <v>481</v>
      </c>
      <c r="W76" s="1" t="s">
        <v>328</v>
      </c>
      <c r="X76" s="1">
        <v>31.0</v>
      </c>
      <c r="Y76" s="1">
        <v>33.0</v>
      </c>
      <c r="Z76" s="1">
        <v>3.0</v>
      </c>
      <c r="AA76" s="1" t="s">
        <v>41</v>
      </c>
    </row>
    <row r="77" ht="15.75" customHeight="1">
      <c r="A77" s="1" t="s">
        <v>597</v>
      </c>
      <c r="B77" s="1" t="s">
        <v>598</v>
      </c>
      <c r="C77" s="1" t="s">
        <v>599</v>
      </c>
      <c r="D77" s="1" t="s">
        <v>600</v>
      </c>
      <c r="E77" s="1" t="s">
        <v>601</v>
      </c>
      <c r="I77" s="1" t="s">
        <v>602</v>
      </c>
      <c r="J77" s="1" t="s">
        <v>603</v>
      </c>
      <c r="K77" s="1">
        <v>4061.0</v>
      </c>
      <c r="L77" s="1" t="s">
        <v>35</v>
      </c>
      <c r="M77" s="1">
        <v>4.15259997E8</v>
      </c>
      <c r="N77" s="1" t="str">
        <f>"415259997"</f>
        <v>415259997</v>
      </c>
      <c r="P77" s="1" t="str">
        <f t="shared" si="13"/>
        <v/>
      </c>
      <c r="Q77" s="1">
        <v>4.15259997E8</v>
      </c>
      <c r="R77" s="1" t="str">
        <f>"0415259997"</f>
        <v>0415259997</v>
      </c>
      <c r="S77" s="1" t="s">
        <v>604</v>
      </c>
      <c r="T77" s="1" t="s">
        <v>37</v>
      </c>
      <c r="U77" s="1" t="s">
        <v>38</v>
      </c>
      <c r="V77" s="1" t="s">
        <v>498</v>
      </c>
      <c r="W77" s="1" t="s">
        <v>370</v>
      </c>
      <c r="X77" s="1">
        <v>4.0</v>
      </c>
      <c r="Y77" s="1">
        <v>4.0</v>
      </c>
      <c r="Z77" s="1">
        <v>1.0</v>
      </c>
      <c r="AA77" s="1" t="s">
        <v>41</v>
      </c>
    </row>
    <row r="78" ht="15.75" customHeight="1">
      <c r="A78" s="1" t="s">
        <v>605</v>
      </c>
      <c r="B78" s="1" t="s">
        <v>606</v>
      </c>
      <c r="C78" s="1" t="s">
        <v>607</v>
      </c>
      <c r="D78" s="1" t="s">
        <v>608</v>
      </c>
      <c r="E78" s="1" t="s">
        <v>609</v>
      </c>
      <c r="I78" s="1" t="s">
        <v>610</v>
      </c>
      <c r="J78" s="1" t="s">
        <v>58</v>
      </c>
      <c r="K78" s="1">
        <v>4073.0</v>
      </c>
      <c r="L78" s="1" t="s">
        <v>35</v>
      </c>
      <c r="M78" s="1">
        <v>4.34864404E8</v>
      </c>
      <c r="N78" s="1" t="str">
        <f>"434864404"</f>
        <v>434864404</v>
      </c>
      <c r="P78" s="1" t="str">
        <f t="shared" si="13"/>
        <v/>
      </c>
      <c r="R78" s="1" t="str">
        <f>""</f>
        <v/>
      </c>
      <c r="S78" s="1" t="s">
        <v>611</v>
      </c>
      <c r="T78" s="1" t="s">
        <v>37</v>
      </c>
      <c r="U78" s="1" t="s">
        <v>38</v>
      </c>
      <c r="V78" s="1" t="s">
        <v>481</v>
      </c>
      <c r="W78" s="1" t="s">
        <v>370</v>
      </c>
      <c r="X78" s="1">
        <v>31.0</v>
      </c>
      <c r="Y78" s="1">
        <v>32.0</v>
      </c>
      <c r="Z78" s="1">
        <v>2.0</v>
      </c>
      <c r="AA78" s="1" t="s">
        <v>41</v>
      </c>
    </row>
    <row r="79" ht="15.75" customHeight="1">
      <c r="A79" s="1" t="s">
        <v>612</v>
      </c>
    </row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
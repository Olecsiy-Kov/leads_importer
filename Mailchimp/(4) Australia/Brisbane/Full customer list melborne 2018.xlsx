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localSheetId="0" name="EVCT714">Sheet1!$A$1:$AN$280</definedName>
  </definedNames>
  <calcPr/>
</workbook>
</file>

<file path=xl/sharedStrings.xml><?xml version="1.0" encoding="utf-8"?>
<sst xmlns="http://schemas.openxmlformats.org/spreadsheetml/2006/main" count="5492" uniqueCount="2354">
  <si>
    <t>Account</t>
  </si>
  <si>
    <t>Host</t>
  </si>
  <si>
    <t>Account Create Code</t>
  </si>
  <si>
    <t>Account Create Date</t>
  </si>
  <si>
    <t>Full Name</t>
  </si>
  <si>
    <t>Reversed Name</t>
  </si>
  <si>
    <t>Surname</t>
  </si>
  <si>
    <t>ChristianNames</t>
  </si>
  <si>
    <t>Title</t>
  </si>
  <si>
    <t>Extra1</t>
  </si>
  <si>
    <t>Extra2</t>
  </si>
  <si>
    <t>Address</t>
  </si>
  <si>
    <t>City State</t>
  </si>
  <si>
    <t>Post Code</t>
  </si>
  <si>
    <t>Country</t>
  </si>
  <si>
    <t>Phone 1</t>
  </si>
  <si>
    <t>Phone 1 Excel</t>
  </si>
  <si>
    <t>Phone 2</t>
  </si>
  <si>
    <t>Phone 2 Excel</t>
  </si>
  <si>
    <t>Phone 3</t>
  </si>
  <si>
    <t>Phone 3 Excel</t>
  </si>
  <si>
    <t>EMail</t>
  </si>
  <si>
    <t>Can Contact</t>
  </si>
  <si>
    <t>Came From</t>
  </si>
  <si>
    <t>Channel Source</t>
  </si>
  <si>
    <t>IP Address</t>
  </si>
  <si>
    <t>Discrete ID</t>
  </si>
  <si>
    <t>Event</t>
  </si>
  <si>
    <t>Options</t>
  </si>
  <si>
    <t>XNum</t>
  </si>
  <si>
    <t>Section</t>
  </si>
  <si>
    <t>Price Level</t>
  </si>
  <si>
    <t>Seller Code</t>
  </si>
  <si>
    <t>Sold Date</t>
  </si>
  <si>
    <t>Row</t>
  </si>
  <si>
    <t>Start Seat</t>
  </si>
  <si>
    <t>End Seat</t>
  </si>
  <si>
    <t>Num Tickets</t>
  </si>
  <si>
    <t>Price Type</t>
  </si>
  <si>
    <t>Qualifiers</t>
  </si>
  <si>
    <t>06-54013</t>
  </si>
  <si>
    <t>AUS</t>
  </si>
  <si>
    <t>ZIN450</t>
  </si>
  <si>
    <t>ALAHBAKHSHIAN \AMIR\\\</t>
  </si>
  <si>
    <t>AMIR ALAHBAKHSHIAN</t>
  </si>
  <si>
    <t>ALAHBAKHSHIAN</t>
  </si>
  <si>
    <t>AMIR</t>
  </si>
  <si>
    <t>UNIT 2 28 PICKETT ST</t>
  </si>
  <si>
    <t>RESERVOIR VIC AU</t>
  </si>
  <si>
    <t>AU</t>
  </si>
  <si>
    <t>amir.azure@yahoo.com</t>
  </si>
  <si>
    <t>YES</t>
  </si>
  <si>
    <t>www.ticketmaster.com.au</t>
  </si>
  <si>
    <t>103.86.97.6</t>
  </si>
  <si>
    <t>EVCT714</t>
  </si>
  <si>
    <t>6|9</t>
  </si>
  <si>
    <t>STALLS</t>
  </si>
  <si>
    <t>A</t>
  </si>
  <si>
    <t>ADULT</t>
  </si>
  <si>
    <t>06-54081</t>
  </si>
  <si>
    <t>ZIN195</t>
  </si>
  <si>
    <t>06-54099</t>
  </si>
  <si>
    <t>ZIL482</t>
  </si>
  <si>
    <t>TASHAKOR \JALEH\\\</t>
  </si>
  <si>
    <t>JALEH TASHAKOR</t>
  </si>
  <si>
    <t>TASHAKOR</t>
  </si>
  <si>
    <t>JALEH</t>
  </si>
  <si>
    <t>301 SPRINGFIELD ROAD</t>
  </si>
  <si>
    <t>NUNAWADING VIC AU</t>
  </si>
  <si>
    <t>jaleh.tashakor@gmail.com</t>
  </si>
  <si>
    <t>NO</t>
  </si>
  <si>
    <t>49.177.14.61</t>
  </si>
  <si>
    <t>B</t>
  </si>
  <si>
    <t>06-54149</t>
  </si>
  <si>
    <t>ZIN123</t>
  </si>
  <si>
    <t>SAFFAR \AZITA\\\</t>
  </si>
  <si>
    <t>AZITA SAFFAR</t>
  </si>
  <si>
    <t>SAFFAR</t>
  </si>
  <si>
    <t>AZITA</t>
  </si>
  <si>
    <t>1138 HIGH STREET</t>
  </si>
  <si>
    <t>ARMADALE VIC AU</t>
  </si>
  <si>
    <t>angelpark19@gmail.com</t>
  </si>
  <si>
    <t>49.177.72.179</t>
  </si>
  <si>
    <t>6|14</t>
  </si>
  <si>
    <t>ZIN693</t>
  </si>
  <si>
    <t>C</t>
  </si>
  <si>
    <t>06-54206</t>
  </si>
  <si>
    <t>ZIK064</t>
  </si>
  <si>
    <t>SOURU \LARISSA\\\</t>
  </si>
  <si>
    <t>LARISSA SOURU</t>
  </si>
  <si>
    <t>SOURU</t>
  </si>
  <si>
    <t>LARISSA</t>
  </si>
  <si>
    <t>LEVEL 2  326 KEILOR ROAD</t>
  </si>
  <si>
    <t>NIDDRIE VIC AU</t>
  </si>
  <si>
    <t>psouru@hotmail.com</t>
  </si>
  <si>
    <t>101.188.140.213</t>
  </si>
  <si>
    <t>J</t>
  </si>
  <si>
    <t>06-54274</t>
  </si>
  <si>
    <t>ZIO236</t>
  </si>
  <si>
    <t>ROBERTS \PAUL\\\</t>
  </si>
  <si>
    <t>PAUL ROBERTS</t>
  </si>
  <si>
    <t>ROBERTS</t>
  </si>
  <si>
    <t>PAUL</t>
  </si>
  <si>
    <t>2 ASHWOOD DRIVE</t>
  </si>
  <si>
    <t>paul.joon@gmail.com</t>
  </si>
  <si>
    <t>210.49.64.244</t>
  </si>
  <si>
    <t>06-54284</t>
  </si>
  <si>
    <t>ZIW205</t>
  </si>
  <si>
    <t>BANI ARDALAN \CHEKAM\\\</t>
  </si>
  <si>
    <t>CHEKAM BANI ARDALAN</t>
  </si>
  <si>
    <t>BANI ARDALAN</t>
  </si>
  <si>
    <t>CHEKAM</t>
  </si>
  <si>
    <t>4 EAST COURT</t>
  </si>
  <si>
    <t>CAMBERWELL VIC AU</t>
  </si>
  <si>
    <t>chekam@smartchat.net.au</t>
  </si>
  <si>
    <t>mobile.ticketmaster.au</t>
  </si>
  <si>
    <t>121.211.84.114</t>
  </si>
  <si>
    <t>G</t>
  </si>
  <si>
    <t>06-54285</t>
  </si>
  <si>
    <t>ZIW150</t>
  </si>
  <si>
    <t>LLOYD \NATASHA\\\</t>
  </si>
  <si>
    <t>NATASHA LLOYD</t>
  </si>
  <si>
    <t>LLOYD</t>
  </si>
  <si>
    <t>NATASHA</t>
  </si>
  <si>
    <t>8 DALKEITH AVE</t>
  </si>
  <si>
    <t>TULLAMARINE VIC AU</t>
  </si>
  <si>
    <t>tasha@lloydies.com</t>
  </si>
  <si>
    <t>112.141.226.100</t>
  </si>
  <si>
    <t>06-54286</t>
  </si>
  <si>
    <t>ZIW072</t>
  </si>
  <si>
    <t>ROSHAN \ALA\\\</t>
  </si>
  <si>
    <t>ALA ROSHAN</t>
  </si>
  <si>
    <t>ROSHAN</t>
  </si>
  <si>
    <t>ALA</t>
  </si>
  <si>
    <t>27 MACKENNEL STREET</t>
  </si>
  <si>
    <t>IVANHOE EAST VIC AU</t>
  </si>
  <si>
    <t>alan.roshan@icloud.com</t>
  </si>
  <si>
    <t>144.136.193.54</t>
  </si>
  <si>
    <t>E</t>
  </si>
  <si>
    <t>06-54293</t>
  </si>
  <si>
    <t>ZIO447</t>
  </si>
  <si>
    <t>SHAHZADI \BIJAN\\\</t>
  </si>
  <si>
    <t>BIJAN SHAHZADI</t>
  </si>
  <si>
    <t>SHAHZADI</t>
  </si>
  <si>
    <t>BIJAN</t>
  </si>
  <si>
    <t>21  WHITEHALL COURT</t>
  </si>
  <si>
    <t>TEMPLESTOWE VIC AU</t>
  </si>
  <si>
    <t>bshahzadi@gmail.com</t>
  </si>
  <si>
    <t>203.111.92.40</t>
  </si>
  <si>
    <t>06-54323</t>
  </si>
  <si>
    <t>ZIO317</t>
  </si>
  <si>
    <t>FOROUZAN \HOOMAN\\\</t>
  </si>
  <si>
    <t>HOOMAN FOROUZAN</t>
  </si>
  <si>
    <t>FOROUZAN</t>
  </si>
  <si>
    <t>HOOMAN</t>
  </si>
  <si>
    <t>103/23 QUEENS RD</t>
  </si>
  <si>
    <t>MELBOURNE VIC AU</t>
  </si>
  <si>
    <t>h_forouzan22@yahoo.com</t>
  </si>
  <si>
    <t>220.244.79.174</t>
  </si>
  <si>
    <t>06-54388</t>
  </si>
  <si>
    <t>ZIW023</t>
  </si>
  <si>
    <t>06-54440</t>
  </si>
  <si>
    <t>ZIW002</t>
  </si>
  <si>
    <t>SADEGHIAN \ELAHEH\\\</t>
  </si>
  <si>
    <t>ELAHEH SADEGHIAN</t>
  </si>
  <si>
    <t>SADEGHIAN</t>
  </si>
  <si>
    <t>ELAHEH</t>
  </si>
  <si>
    <t>2/36 YORK ST</t>
  </si>
  <si>
    <t>PRAHRAN VIC AU</t>
  </si>
  <si>
    <t>sadeghian.elaheh@gmail.com</t>
  </si>
  <si>
    <t>101.189.115.220</t>
  </si>
  <si>
    <t>06-54521</t>
  </si>
  <si>
    <t>ZIN390</t>
  </si>
  <si>
    <t>MEHDI NASAB \MS S\\\</t>
  </si>
  <si>
    <t>MS S MEHDI NASAB</t>
  </si>
  <si>
    <t>MEHDI NASAB</t>
  </si>
  <si>
    <t>MS S</t>
  </si>
  <si>
    <t>204 / 60C - SPEAKMEN STREET  K</t>
  </si>
  <si>
    <t>neda.mn86@gmail.com</t>
  </si>
  <si>
    <t>118.209.250.68</t>
  </si>
  <si>
    <t>DCIR</t>
  </si>
  <si>
    <t>06-54528</t>
  </si>
  <si>
    <t>ZIW142</t>
  </si>
  <si>
    <t>ABIRI \ALI\\\</t>
  </si>
  <si>
    <t>ALI ABIRI</t>
  </si>
  <si>
    <t>ABIRI</t>
  </si>
  <si>
    <t>ALI</t>
  </si>
  <si>
    <t>38 MORTON DR</t>
  </si>
  <si>
    <t>EASTWOOD VIC AU</t>
  </si>
  <si>
    <t>ali.abiri@gmail.com</t>
  </si>
  <si>
    <t>120.144.155.218</t>
  </si>
  <si>
    <t>06-54537</t>
  </si>
  <si>
    <t>ZIW041</t>
  </si>
  <si>
    <t>AKBARI KELEI \LEILA\\\</t>
  </si>
  <si>
    <t>LEILA AKBARI KELEI</t>
  </si>
  <si>
    <t>AKBARI KELEI</t>
  </si>
  <si>
    <t>LEILA</t>
  </si>
  <si>
    <t>1/30 BAMFIELD ROAD</t>
  </si>
  <si>
    <t>HEIDELBERG HEIGHTS VIC AU</t>
  </si>
  <si>
    <t>lilykelei@yahoo.com.au</t>
  </si>
  <si>
    <t>115.64.132.26</t>
  </si>
  <si>
    <t>06-54582</t>
  </si>
  <si>
    <t>ZIK552</t>
  </si>
  <si>
    <t>HONARMAND \PEIMAN\\\</t>
  </si>
  <si>
    <t>PEIMAN HONARMAND</t>
  </si>
  <si>
    <t>HONARMAND</t>
  </si>
  <si>
    <t>PEIMAN</t>
  </si>
  <si>
    <t>401  1 WELLINGTON ROAD</t>
  </si>
  <si>
    <t>BOX HILL VIC AU</t>
  </si>
  <si>
    <t>peiman.honarmand@gmail.com</t>
  </si>
  <si>
    <t>120.21.209.36</t>
  </si>
  <si>
    <t>06-54600</t>
  </si>
  <si>
    <t>ZIW065</t>
  </si>
  <si>
    <t>ALIZADEH \SOMAIYEH\\\</t>
  </si>
  <si>
    <t>SOMAIYEH ALIZADEH</t>
  </si>
  <si>
    <t>ALIZADEH</t>
  </si>
  <si>
    <t>SOMAIYEH</t>
  </si>
  <si>
    <t>57 BOTANIC DRIVE</t>
  </si>
  <si>
    <t>CLAYTON SOUTH VIC AU</t>
  </si>
  <si>
    <t>s_alizadeh_mec@yahoo.com</t>
  </si>
  <si>
    <t>203.45.120.40</t>
  </si>
  <si>
    <t>06-54654</t>
  </si>
  <si>
    <t>ZIK443</t>
  </si>
  <si>
    <t>GOMEZ \MANASES\\\</t>
  </si>
  <si>
    <t>MANASES GOMEZ</t>
  </si>
  <si>
    <t>GOMEZ</t>
  </si>
  <si>
    <t>MANASES</t>
  </si>
  <si>
    <t>63 PALMERSTON STREET</t>
  </si>
  <si>
    <t>MELTON VIC AU</t>
  </si>
  <si>
    <t>snowjasper@bigpond.com</t>
  </si>
  <si>
    <t>CFC_AU_MRR_Marriner</t>
  </si>
  <si>
    <t>121.221.176.231</t>
  </si>
  <si>
    <t>06-54692</t>
  </si>
  <si>
    <t>ZIW201</t>
  </si>
  <si>
    <t>HAGHI JAMADI \HOSSEIN\\\</t>
  </si>
  <si>
    <t>HOSSEIN HAGHI JAMADI</t>
  </si>
  <si>
    <t>HAGHI JAMADI</t>
  </si>
  <si>
    <t>HOSSEIN</t>
  </si>
  <si>
    <t>24 MULHOLLAND CRESCENT</t>
  </si>
  <si>
    <t>GROVEDALE VIC AU</t>
  </si>
  <si>
    <t>hosseinhaghi777@gmail.com</t>
  </si>
  <si>
    <t>140.159.2.225</t>
  </si>
  <si>
    <t>06-54694</t>
  </si>
  <si>
    <t>ZIN386</t>
  </si>
  <si>
    <t>10A LOMOND TERRACE</t>
  </si>
  <si>
    <t>MALVERN EAST VIC AU</t>
  </si>
  <si>
    <t>06-54742</t>
  </si>
  <si>
    <t>ZIL484</t>
  </si>
  <si>
    <t>ANSARI \SALAR\\\</t>
  </si>
  <si>
    <t>SALAR ANSARI</t>
  </si>
  <si>
    <t>ANSARI</t>
  </si>
  <si>
    <t>SALAR</t>
  </si>
  <si>
    <t>106A/1 COLOMBO STREET</t>
  </si>
  <si>
    <t>MITCHAM VIC AU</t>
  </si>
  <si>
    <t>khadijasalimi45@yahoo.com</t>
  </si>
  <si>
    <t>144.138.35.100</t>
  </si>
  <si>
    <t>06-54747</t>
  </si>
  <si>
    <t>ZIL049</t>
  </si>
  <si>
    <t>06-54749</t>
  </si>
  <si>
    <t>ZIW213</t>
  </si>
  <si>
    <t>AL KALIDI \CHRISTINE\\\</t>
  </si>
  <si>
    <t>CHRISTINE AL KALIDI</t>
  </si>
  <si>
    <t>AL KALIDI</t>
  </si>
  <si>
    <t>CHRISTINE</t>
  </si>
  <si>
    <t>2/2 BERTRAM ROAD</t>
  </si>
  <si>
    <t>BAYSWATER VIC AU</t>
  </si>
  <si>
    <t>christine.alkalidi@hotmail.com</t>
  </si>
  <si>
    <t>1.136.111.245</t>
  </si>
  <si>
    <t>K</t>
  </si>
  <si>
    <t>06-54847</t>
  </si>
  <si>
    <t>ZIW040</t>
  </si>
  <si>
    <t>KERAMATI NIKJEH \BEHNAZ\\\</t>
  </si>
  <si>
    <t>BEHNAZ KERAMATI NIKJEH</t>
  </si>
  <si>
    <t>KERAMATI NIKJEH</t>
  </si>
  <si>
    <t>BEHNAZ</t>
  </si>
  <si>
    <t>1 DONALDSON PLC</t>
  </si>
  <si>
    <t>POINT COOK VIC AU</t>
  </si>
  <si>
    <t>behgol.kn@gmail.com</t>
  </si>
  <si>
    <t>49.199.228.57</t>
  </si>
  <si>
    <t>06-54874</t>
  </si>
  <si>
    <t>ZIW082</t>
  </si>
  <si>
    <t>HALLAJI \DANIEL\\\</t>
  </si>
  <si>
    <t>DANIEL HALLAJI</t>
  </si>
  <si>
    <t>HALLAJI</t>
  </si>
  <si>
    <t>DANIEL</t>
  </si>
  <si>
    <t>5 PENDLE CLOSE</t>
  </si>
  <si>
    <t>NARRE WARREN VIC AU</t>
  </si>
  <si>
    <t>louhallaji@hotmail.com</t>
  </si>
  <si>
    <t>120.21.19.162</t>
  </si>
  <si>
    <t>06-55053</t>
  </si>
  <si>
    <t>ZIW084</t>
  </si>
  <si>
    <t>SHAHPASANDI \AMIN\\\</t>
  </si>
  <si>
    <t>AMIN SHAHPASANDI</t>
  </si>
  <si>
    <t>SHAHPASANDI</t>
  </si>
  <si>
    <t>AMIN</t>
  </si>
  <si>
    <t>3208 / 570 LYGON ST</t>
  </si>
  <si>
    <t>CARLTON VIC AU</t>
  </si>
  <si>
    <t>shahpasandiamin@gmail.com</t>
  </si>
  <si>
    <t>14.203.79.233</t>
  </si>
  <si>
    <t>06-55061</t>
  </si>
  <si>
    <t>ZIW038</t>
  </si>
  <si>
    <t>06-55186</t>
  </si>
  <si>
    <t>ZIW021</t>
  </si>
  <si>
    <t>JAFARI \MOZHGAN\\\</t>
  </si>
  <si>
    <t>MOZHGAN JAFARI</t>
  </si>
  <si>
    <t>JAFARI</t>
  </si>
  <si>
    <t>MOZHGAN</t>
  </si>
  <si>
    <t>35 KENJULIE DRIVE</t>
  </si>
  <si>
    <t>BENTLEIGH EAST VIC AU</t>
  </si>
  <si>
    <t>m_jafari80@yahoo.com</t>
  </si>
  <si>
    <t>122.110.210.166</t>
  </si>
  <si>
    <t>06-55274</t>
  </si>
  <si>
    <t>ZIW195</t>
  </si>
  <si>
    <t>DERAKHSHAN \LIDA\\\</t>
  </si>
  <si>
    <t>LIDA DERAKHSHAN</t>
  </si>
  <si>
    <t>DERAKHSHAN</t>
  </si>
  <si>
    <t>LIDA</t>
  </si>
  <si>
    <t>11 BAYSWATER ROAD</t>
  </si>
  <si>
    <t>NEWTOWN VIC AU</t>
  </si>
  <si>
    <t>lida_derakhsh@yahoo.com</t>
  </si>
  <si>
    <t>101.188.185.212</t>
  </si>
  <si>
    <t>H</t>
  </si>
  <si>
    <t>06-55306</t>
  </si>
  <si>
    <t>ZIW221</t>
  </si>
  <si>
    <t>THOMPSON \SAMAR\\\</t>
  </si>
  <si>
    <t>SAMAR THOMPSON</t>
  </si>
  <si>
    <t>THOMPSON</t>
  </si>
  <si>
    <t>SAMAR</t>
  </si>
  <si>
    <t>3 ORANNA COURT</t>
  </si>
  <si>
    <t>GLEN WAVERLEY VIC AU</t>
  </si>
  <si>
    <t>samarthompson@gmail.com</t>
  </si>
  <si>
    <t>124.188.5.248</t>
  </si>
  <si>
    <t>06-55364</t>
  </si>
  <si>
    <t>ZIO574</t>
  </si>
  <si>
    <t>LOVELUCK \MAREE\\\</t>
  </si>
  <si>
    <t>MAREE LOVELUCK</t>
  </si>
  <si>
    <t>LOVELUCK</t>
  </si>
  <si>
    <t>MAREE</t>
  </si>
  <si>
    <t>30 CURTIN AVE</t>
  </si>
  <si>
    <t>LALOR VIC AU</t>
  </si>
  <si>
    <t>watch_out65@hotmail.com</t>
  </si>
  <si>
    <t>36.67.44.221</t>
  </si>
  <si>
    <t>06-55375</t>
  </si>
  <si>
    <t>ZIN148</t>
  </si>
  <si>
    <t>RASHIDIVARANKESHI \YASER\\\</t>
  </si>
  <si>
    <t>YASER RASHIDIVARANKESHI</t>
  </si>
  <si>
    <t>RASHIDIVARANKESHI</t>
  </si>
  <si>
    <t>YASER</t>
  </si>
  <si>
    <t>30 MCWILLIAMS CRES.</t>
  </si>
  <si>
    <t>yaser.rashidi@gmail.com</t>
  </si>
  <si>
    <t>121.219.224.206</t>
  </si>
  <si>
    <t>06-55413</t>
  </si>
  <si>
    <t>ZIW026</t>
  </si>
  <si>
    <t>MEHRDADIAN \SHIRIN\\\</t>
  </si>
  <si>
    <t>SHIRIN MEHRDADIAN</t>
  </si>
  <si>
    <t>MEHRDADIAN</t>
  </si>
  <si>
    <t>SHIRIN</t>
  </si>
  <si>
    <t>26 MOUNTFORD RISE</t>
  </si>
  <si>
    <t>PAKENHAM VIC AU</t>
  </si>
  <si>
    <t>smehrdadian@hotmail.com</t>
  </si>
  <si>
    <t>112.141.39.40</t>
  </si>
  <si>
    <t>06-55460</t>
  </si>
  <si>
    <t>ZIK357</t>
  </si>
  <si>
    <t>MILANI \NICK MILANI\\\</t>
  </si>
  <si>
    <t>NICK MILANI MILANI</t>
  </si>
  <si>
    <t>MILANI</t>
  </si>
  <si>
    <t>NICK MILANI</t>
  </si>
  <si>
    <t>22 OCTANTIS STREET</t>
  </si>
  <si>
    <t>DONCASTER EAST VIC AU</t>
  </si>
  <si>
    <t>nkm_me@yahoo.com.au</t>
  </si>
  <si>
    <t>175.33.208.192</t>
  </si>
  <si>
    <t>06-55470</t>
  </si>
  <si>
    <t>ZIW155</t>
  </si>
  <si>
    <t>TEZENGI \THERESA\\\</t>
  </si>
  <si>
    <t>THERESA TEZENGI</t>
  </si>
  <si>
    <t>TEZENGI</t>
  </si>
  <si>
    <t>THERESA</t>
  </si>
  <si>
    <t>9 HOPE COURT</t>
  </si>
  <si>
    <t>KEW VIC AU</t>
  </si>
  <si>
    <t>theresatezengi@gmail.com</t>
  </si>
  <si>
    <t>60.224.128.220</t>
  </si>
  <si>
    <t>06-55474</t>
  </si>
  <si>
    <t>ZIL025</t>
  </si>
  <si>
    <t>KIUMARSI \MEHRNOOSH\\\</t>
  </si>
  <si>
    <t>MEHRNOOSH KIUMARSI</t>
  </si>
  <si>
    <t>KIUMARSI</t>
  </si>
  <si>
    <t>MEHRNOOSH</t>
  </si>
  <si>
    <t>20 ROY STREET</t>
  </si>
  <si>
    <t>DONVALE VIC AU</t>
  </si>
  <si>
    <t>md_kiumarsi@yahoo.com</t>
  </si>
  <si>
    <t>60.224.92.119</t>
  </si>
  <si>
    <t>06-55488</t>
  </si>
  <si>
    <t>ZIW019</t>
  </si>
  <si>
    <t>HOSSEINI \SIMIN\\\</t>
  </si>
  <si>
    <t>SIMIN HOSSEINI</t>
  </si>
  <si>
    <t>HOSSEINI</t>
  </si>
  <si>
    <t>SIMIN</t>
  </si>
  <si>
    <t>317 THOMPSONS ROAD</t>
  </si>
  <si>
    <t>TEMPLESTOWE LOWER VIC AU</t>
  </si>
  <si>
    <t>simin30@gmail.com</t>
  </si>
  <si>
    <t>49.184.135.0</t>
  </si>
  <si>
    <t>06-55537</t>
  </si>
  <si>
    <t>ZIN283</t>
  </si>
  <si>
    <t>KARIMI \AZADEH\\\</t>
  </si>
  <si>
    <t>AZADEH KARIMI</t>
  </si>
  <si>
    <t>KARIMI</t>
  </si>
  <si>
    <t>AZADEH</t>
  </si>
  <si>
    <t>12 DEERAGUN RD</t>
  </si>
  <si>
    <t>TOWNSVILLE QLD AU</t>
  </si>
  <si>
    <t>new_exp2012@yahoo.com</t>
  </si>
  <si>
    <t>101.188.148.152</t>
  </si>
  <si>
    <t>06-55561</t>
  </si>
  <si>
    <t>ZIL566</t>
  </si>
  <si>
    <t>MIRHOSSEINI \SHAHIN\\\</t>
  </si>
  <si>
    <t>SHAHIN MIRHOSSEINI</t>
  </si>
  <si>
    <t>MIRHOSSEINI</t>
  </si>
  <si>
    <t>SHAHIN</t>
  </si>
  <si>
    <t>UNIT 4 / 1 CELESTE COURT</t>
  </si>
  <si>
    <t>ST KILDA EAST VIC AU</t>
  </si>
  <si>
    <t>shahin.mirh@gmail.com</t>
  </si>
  <si>
    <t>14.201.213.127</t>
  </si>
  <si>
    <t>06-55581</t>
  </si>
  <si>
    <t>ZIW153</t>
  </si>
  <si>
    <t>HASSANI \SHAKILA\\\</t>
  </si>
  <si>
    <t>SHAKILA HASSANI</t>
  </si>
  <si>
    <t>HASSANI</t>
  </si>
  <si>
    <t>SHAKILA</t>
  </si>
  <si>
    <t>AG47 JACKOMOS HALL  44 COLLEGE</t>
  </si>
  <si>
    <t>CLAYTON VIC AU</t>
  </si>
  <si>
    <t>hassani.shakila@yahoo.com.au</t>
  </si>
  <si>
    <t>118.138.94.97</t>
  </si>
  <si>
    <t>06-55588</t>
  </si>
  <si>
    <t>ZIK151</t>
  </si>
  <si>
    <t>SHARAFI \GOLNAZ\\\</t>
  </si>
  <si>
    <t>GOLNAZ SHARAFI</t>
  </si>
  <si>
    <t>SHARAFI</t>
  </si>
  <si>
    <t>GOLNAZ</t>
  </si>
  <si>
    <t>4/115 WAIORA ROAD</t>
  </si>
  <si>
    <t>gsharafi@student.unimelb.edu.au</t>
  </si>
  <si>
    <t>122.151.255.146</t>
  </si>
  <si>
    <t>L</t>
  </si>
  <si>
    <t>06-55614</t>
  </si>
  <si>
    <t>ZIW094</t>
  </si>
  <si>
    <t>TARASHOVSKI \ILCHE\\\</t>
  </si>
  <si>
    <t>ILCHE TARASHOVSKI</t>
  </si>
  <si>
    <t>TARASHOVSKI</t>
  </si>
  <si>
    <t>ILCHE</t>
  </si>
  <si>
    <t>18 DIVAGATE AVENUE</t>
  </si>
  <si>
    <t>DOREEN VIC AU</t>
  </si>
  <si>
    <t>lena_8484@hotmail.com</t>
  </si>
  <si>
    <t>122.110.17.85</t>
  </si>
  <si>
    <t>06-55617</t>
  </si>
  <si>
    <t>ZIW064</t>
  </si>
  <si>
    <t>SHADANI \SHERVIN SHADANI\\\</t>
  </si>
  <si>
    <t>SHERVIN SHADANI SHADANI</t>
  </si>
  <si>
    <t>SHADANI</t>
  </si>
  <si>
    <t>SHERVIN SHADANI</t>
  </si>
  <si>
    <t>501 / 77 CARDIGAN STREET</t>
  </si>
  <si>
    <t>shervin.shadani@hotmail.com</t>
  </si>
  <si>
    <t>59.102.14.2</t>
  </si>
  <si>
    <t>06-55672</t>
  </si>
  <si>
    <t>ZIW025</t>
  </si>
  <si>
    <t>BATTERHAM \JOEL\\\</t>
  </si>
  <si>
    <t>JOEL BATTERHAM</t>
  </si>
  <si>
    <t>BATTERHAM</t>
  </si>
  <si>
    <t>JOEL</t>
  </si>
  <si>
    <t>79 NORMANBY ROAD</t>
  </si>
  <si>
    <t>CAULFIELD NORTH VIC AU</t>
  </si>
  <si>
    <t>joel.batterham@gmail.com</t>
  </si>
  <si>
    <t>147.10.60.143</t>
  </si>
  <si>
    <t>06-55686</t>
  </si>
  <si>
    <t>ZIW061</t>
  </si>
  <si>
    <t>BABAK \AZHANG\\\</t>
  </si>
  <si>
    <t>AZHANG BABAK</t>
  </si>
  <si>
    <t>BABAK</t>
  </si>
  <si>
    <t>AZHANG</t>
  </si>
  <si>
    <t>51/1A ST KILDA RD</t>
  </si>
  <si>
    <t>ST KILDA VIC AU</t>
  </si>
  <si>
    <t>azhang1351@gmail.com</t>
  </si>
  <si>
    <t>49.185.242.50</t>
  </si>
  <si>
    <t>06-55751</t>
  </si>
  <si>
    <t>ZIW014</t>
  </si>
  <si>
    <t>MOHAMMAD \ASADA\\\</t>
  </si>
  <si>
    <t>ASADA MOHAMMAD</t>
  </si>
  <si>
    <t>MOHAMMAD</t>
  </si>
  <si>
    <t>ASADA</t>
  </si>
  <si>
    <t>701/163 CITY ROAD</t>
  </si>
  <si>
    <t>SOUTHBANK VIC AU</t>
  </si>
  <si>
    <t>azadahrm@gmail.com</t>
  </si>
  <si>
    <t>175.34.11.3</t>
  </si>
  <si>
    <t>N</t>
  </si>
  <si>
    <t>06-55834</t>
  </si>
  <si>
    <t>ZIW049</t>
  </si>
  <si>
    <t>AKHLAGHI \PEYMAN\\\</t>
  </si>
  <si>
    <t>PEYMAN AKHLAGHI</t>
  </si>
  <si>
    <t>AKHLAGHI</t>
  </si>
  <si>
    <t>PEYMAN</t>
  </si>
  <si>
    <t>45 STARK CIRCUIT</t>
  </si>
  <si>
    <t>CRANBOURNE EAST VIC AU</t>
  </si>
  <si>
    <t>peyman.akhlaghi@gmail.com</t>
  </si>
  <si>
    <t>101.180.131.75</t>
  </si>
  <si>
    <t>06-55848</t>
  </si>
  <si>
    <t>ZIK010</t>
  </si>
  <si>
    <t>ASADZADEH \NEGAR\\\</t>
  </si>
  <si>
    <t>NEGAR ASADZADEH</t>
  </si>
  <si>
    <t>ASADZADEH</t>
  </si>
  <si>
    <t>NEGAR</t>
  </si>
  <si>
    <t>RTS 29/6 LMTC</t>
  </si>
  <si>
    <t>UNIT 406/4 BREESE STREET</t>
  </si>
  <si>
    <t>BRUNSWICK VIC AU</t>
  </si>
  <si>
    <t>negar.dasa@gmail.com</t>
  </si>
  <si>
    <t>119.17.52.170</t>
  </si>
  <si>
    <t>06-55855</t>
  </si>
  <si>
    <t>ZIO241</t>
  </si>
  <si>
    <t>SADAT AKHAVI \MR S M\\\</t>
  </si>
  <si>
    <t>MR S M SADAT AKHAVI</t>
  </si>
  <si>
    <t>SADAT AKHAVI</t>
  </si>
  <si>
    <t>MR S M</t>
  </si>
  <si>
    <t>9/3 LENNOX STREET</t>
  </si>
  <si>
    <t>MOONEE PONDS VIC AU</t>
  </si>
  <si>
    <t>sadatakhavi.ali@gmail.com</t>
  </si>
  <si>
    <t>203.35.135.171</t>
  </si>
  <si>
    <t>06-55894</t>
  </si>
  <si>
    <t>ZIW202</t>
  </si>
  <si>
    <t>AZADI \MANDANA\\\</t>
  </si>
  <si>
    <t>MANDANA AZADI</t>
  </si>
  <si>
    <t>AZADI</t>
  </si>
  <si>
    <t>MANDANA</t>
  </si>
  <si>
    <t>25/31 OXFORD ST</t>
  </si>
  <si>
    <t>OAKLEIGH VIC AU</t>
  </si>
  <si>
    <t>Azadimandana@gmail.com</t>
  </si>
  <si>
    <t>49.199.93.27</t>
  </si>
  <si>
    <t>06-55939</t>
  </si>
  <si>
    <t>ZIW214</t>
  </si>
  <si>
    <t>AMIDPOUR \BAHAR\\\</t>
  </si>
  <si>
    <t>BAHAR AMIDPOUR</t>
  </si>
  <si>
    <t>AMIDPOUR</t>
  </si>
  <si>
    <t>BAHAR</t>
  </si>
  <si>
    <t>17 SCOTCH CCT</t>
  </si>
  <si>
    <t>HAWTHORN VIC AU</t>
  </si>
  <si>
    <t>b_amidpour@yahoo.com</t>
  </si>
  <si>
    <t>120.21.64.202</t>
  </si>
  <si>
    <t>06-55969</t>
  </si>
  <si>
    <t>ZIN461</t>
  </si>
  <si>
    <t>FINI \MORTEZA\\\</t>
  </si>
  <si>
    <t>MORTEZA FINI</t>
  </si>
  <si>
    <t>FINI</t>
  </si>
  <si>
    <t>MORTEZA</t>
  </si>
  <si>
    <t>36 DICKERSON WAY</t>
  </si>
  <si>
    <t>CAROLINE SPRINGS VIC AU</t>
  </si>
  <si>
    <t>fini.morteza@gmail.com</t>
  </si>
  <si>
    <t>202.3.79.249</t>
  </si>
  <si>
    <t>06-55979</t>
  </si>
  <si>
    <t>ZIW048</t>
  </si>
  <si>
    <t>FARAJPOUR \MEHRNAZ\\\</t>
  </si>
  <si>
    <t>MEHRNAZ FARAJPOUR</t>
  </si>
  <si>
    <t>FARAJPOUR</t>
  </si>
  <si>
    <t>MEHRNAZ</t>
  </si>
  <si>
    <t>6 YORKMINSTER AVE</t>
  </si>
  <si>
    <t>WANTIRNA VIC AU</t>
  </si>
  <si>
    <t>farajpour_mehrnaz@yahoo.com</t>
  </si>
  <si>
    <t>60.224.251.42</t>
  </si>
  <si>
    <t>06-56022</t>
  </si>
  <si>
    <t>ZIW230</t>
  </si>
  <si>
    <t>PANAHIFAR \SINA\\\</t>
  </si>
  <si>
    <t>SINA PANAHIFAR</t>
  </si>
  <si>
    <t>PANAHIFAR</t>
  </si>
  <si>
    <t>SINA</t>
  </si>
  <si>
    <t>114/5 SOVEREIGN POINT COURT</t>
  </si>
  <si>
    <t>DONCASTER VIC AU</t>
  </si>
  <si>
    <t>inensn@gmail.com</t>
  </si>
  <si>
    <t>49.194.162.155</t>
  </si>
  <si>
    <t>06-56026</t>
  </si>
  <si>
    <t>ZIW052</t>
  </si>
  <si>
    <t>GHASEMIAN \SOROUSH\\\</t>
  </si>
  <si>
    <t>SOROUSH GHASEMIAN</t>
  </si>
  <si>
    <t>GHASEMIAN</t>
  </si>
  <si>
    <t>SOROUSH</t>
  </si>
  <si>
    <t>35 MURPHY STREET</t>
  </si>
  <si>
    <t>OAK PARK VIC AU</t>
  </si>
  <si>
    <t>persian1992@outlook.com</t>
  </si>
  <si>
    <t>114.77.57.234</t>
  </si>
  <si>
    <t>06-56029</t>
  </si>
  <si>
    <t>ZIW076</t>
  </si>
  <si>
    <t>DEHGHAN NAJMABADI \SOMAYEH\\\</t>
  </si>
  <si>
    <t>SOMAYEH DEHGHAN NAJMABADI</t>
  </si>
  <si>
    <t>DEHGHAN NAJMABADI</t>
  </si>
  <si>
    <t>SOMAYEH</t>
  </si>
  <si>
    <t>B317  60 AUTUMN TERRACE</t>
  </si>
  <si>
    <t>smdghn@gmail.com</t>
  </si>
  <si>
    <t>203.213.232.46</t>
  </si>
  <si>
    <t>06-56036</t>
  </si>
  <si>
    <t>ZIK448</t>
  </si>
  <si>
    <t>JAFARIZADEH \FARZAD\\\</t>
  </si>
  <si>
    <t>FARZAD JAFARIZADEH</t>
  </si>
  <si>
    <t>JAFARIZADEH</t>
  </si>
  <si>
    <t>FARZAD</t>
  </si>
  <si>
    <t>107 NEW ROAD</t>
  </si>
  <si>
    <t>farzad1367@gmail.com</t>
  </si>
  <si>
    <t>110.22.148.95</t>
  </si>
  <si>
    <t>06-56092</t>
  </si>
  <si>
    <t>DAVOODI \BAHAR\\\</t>
  </si>
  <si>
    <t>BAHAR DAVOODI</t>
  </si>
  <si>
    <t>DAVOODI</t>
  </si>
  <si>
    <t>8A SELLICK DRIVE</t>
  </si>
  <si>
    <t>CROYDON VIC AU</t>
  </si>
  <si>
    <t>bahar_dvd61@yahoo.com</t>
  </si>
  <si>
    <t>101.187.21.32</t>
  </si>
  <si>
    <t>06-56097</t>
  </si>
  <si>
    <t>ZIW176</t>
  </si>
  <si>
    <t>TALEBI \HAMID REZA\\\</t>
  </si>
  <si>
    <t>HAMID REZA TALEBI</t>
  </si>
  <si>
    <t>TALEBI</t>
  </si>
  <si>
    <t>HAMID REZA</t>
  </si>
  <si>
    <t>1 CHELMSFORD AVE</t>
  </si>
  <si>
    <t>elhamshavandi@yahoo.com.au</t>
  </si>
  <si>
    <t>144.136.155.167</t>
  </si>
  <si>
    <t>06-56214</t>
  </si>
  <si>
    <t>ZIW042</t>
  </si>
  <si>
    <t>SAYADI \PEIMAN\\\</t>
  </si>
  <si>
    <t>PEIMAN SAYADI</t>
  </si>
  <si>
    <t>SAYADI</t>
  </si>
  <si>
    <t>22 BEVERLY HILLS DR</t>
  </si>
  <si>
    <t>nelly.oroumchi@gmail.com</t>
  </si>
  <si>
    <t>144.132.32.173</t>
  </si>
  <si>
    <t>06-56227</t>
  </si>
  <si>
    <t>MAR805</t>
  </si>
  <si>
    <t>RF/S24-S29 RELEASED AS PER</t>
  </si>
  <si>
    <t>PENNYS EMAIL 13/07</t>
  </si>
  <si>
    <t>3 HUME STREET</t>
  </si>
  <si>
    <t>HUNTINGDALE  VIC</t>
  </si>
  <si>
    <t>F</t>
  </si>
  <si>
    <t>COMP</t>
  </si>
  <si>
    <t>06-56251</t>
  </si>
  <si>
    <t>BAZGARD/ALI</t>
  </si>
  <si>
    <t>ALI BAZGARD</t>
  </si>
  <si>
    <t>BAZGARD</t>
  </si>
  <si>
    <t>PROD REQ</t>
  </si>
  <si>
    <t>a.bazgard@sharpcloset.com.au&gt;</t>
  </si>
  <si>
    <t>M</t>
  </si>
  <si>
    <t>06-56260</t>
  </si>
  <si>
    <t>ZIW115</t>
  </si>
  <si>
    <t>SAME \SAYEDMOHAMMADYOUNES\\\</t>
  </si>
  <si>
    <t>SAYEDMOHAMMADYOUNES SAME</t>
  </si>
  <si>
    <t>SAME</t>
  </si>
  <si>
    <t>SAYEDMOHAMMADYOUNES</t>
  </si>
  <si>
    <t>8 BETHANY ROAD</t>
  </si>
  <si>
    <t>HOPPERS CROSSING VIC AU</t>
  </si>
  <si>
    <t>younes.sam2311@gmail.com</t>
  </si>
  <si>
    <t>120.21.200.184</t>
  </si>
  <si>
    <t>06-56268</t>
  </si>
  <si>
    <t>ZIW098</t>
  </si>
  <si>
    <t>EDRISI SORMOLI \MERCEDEH\\\</t>
  </si>
  <si>
    <t>MERCEDEH EDRISI SORMOLI</t>
  </si>
  <si>
    <t>EDRISI SORMOLI</t>
  </si>
  <si>
    <t>MERCEDEH</t>
  </si>
  <si>
    <t>202/ 78 WESTBURY ST</t>
  </si>
  <si>
    <t>BALACLAVA VIC AU</t>
  </si>
  <si>
    <t>mercede.edrisi@gmail.com</t>
  </si>
  <si>
    <t>106.68.92.92</t>
  </si>
  <si>
    <t>06-56281</t>
  </si>
  <si>
    <t>ZIL070</t>
  </si>
  <si>
    <t>SHOJAE \MOHSEN\\\</t>
  </si>
  <si>
    <t>MOHSEN SHOJAE</t>
  </si>
  <si>
    <t>SHOJAE</t>
  </si>
  <si>
    <t>MOHSEN</t>
  </si>
  <si>
    <t>34 WINGARA AVENUE</t>
  </si>
  <si>
    <t>KEILOR EAST VIC AU</t>
  </si>
  <si>
    <t>mohsen.shojae@yahoo.com</t>
  </si>
  <si>
    <t>121.208.179.177</t>
  </si>
  <si>
    <t>O</t>
  </si>
  <si>
    <t>06-56432</t>
  </si>
  <si>
    <t>ZIW189</t>
  </si>
  <si>
    <t>06-56508</t>
  </si>
  <si>
    <t>ZIN252</t>
  </si>
  <si>
    <t>MOUSAVI \FERIDA\\\</t>
  </si>
  <si>
    <t>FERIDA MOUSAVI</t>
  </si>
  <si>
    <t>MOUSAVI</t>
  </si>
  <si>
    <t>FERIDA</t>
  </si>
  <si>
    <t>212/2 LA SCALA AVE</t>
  </si>
  <si>
    <t>MARIBYRNONG VIC AU</t>
  </si>
  <si>
    <t>ferida_mousavi@hotmail.com</t>
  </si>
  <si>
    <t>220.253.30.62</t>
  </si>
  <si>
    <t>06-56522</t>
  </si>
  <si>
    <t>BANIADAM \SARA\\\</t>
  </si>
  <si>
    <t>SARA BANIADAM</t>
  </si>
  <si>
    <t>BANIADAM</t>
  </si>
  <si>
    <t>SARA</t>
  </si>
  <si>
    <t>187 CITY ROAD</t>
  </si>
  <si>
    <t>sara2492026@gmail.com</t>
  </si>
  <si>
    <t>120.21.239.183</t>
  </si>
  <si>
    <t>06-56599</t>
  </si>
  <si>
    <t>ZIW158</t>
  </si>
  <si>
    <t>ARDESHIR TANHA \KATAYOON\\\</t>
  </si>
  <si>
    <t>KATAYOON ARDESHIR TANHA</t>
  </si>
  <si>
    <t>ARDESHIR TANHA</t>
  </si>
  <si>
    <t>KATAYOON</t>
  </si>
  <si>
    <t>1/10 BLAIR STREET  BENTLEIGH</t>
  </si>
  <si>
    <t>BENTLEIGH VIC AU</t>
  </si>
  <si>
    <t>katy_ardeshir@yahoo.com</t>
  </si>
  <si>
    <t>1.136.109.69</t>
  </si>
  <si>
    <t>06-56626</t>
  </si>
  <si>
    <t>ZIW130</t>
  </si>
  <si>
    <t>KESHTKARAN \MAHSA\\\</t>
  </si>
  <si>
    <t>MAHSA KESHTKARAN</t>
  </si>
  <si>
    <t>KESHTKARAN</t>
  </si>
  <si>
    <t>MAHSA</t>
  </si>
  <si>
    <t>UNIT 1  15A WRIDGWAY AVENUE</t>
  </si>
  <si>
    <t>BURWOOD VIC AU</t>
  </si>
  <si>
    <t>mahsa.keshtkaran.mk@gmail.com</t>
  </si>
  <si>
    <t>CFC_BUYAT_339603</t>
  </si>
  <si>
    <t>14.201.255.192</t>
  </si>
  <si>
    <t>06-56654</t>
  </si>
  <si>
    <t>ZIW223</t>
  </si>
  <si>
    <t>MORSHEDI \SAEED\\\</t>
  </si>
  <si>
    <t>SAEED MORSHEDI</t>
  </si>
  <si>
    <t>MORSHEDI</t>
  </si>
  <si>
    <t>SAEED</t>
  </si>
  <si>
    <t>304/2 MOONERING DR</t>
  </si>
  <si>
    <t>COBURG VIC AU</t>
  </si>
  <si>
    <t>dr.leila.moradi@gmail.com</t>
  </si>
  <si>
    <t>59.102.47.29</t>
  </si>
  <si>
    <t>06-56666</t>
  </si>
  <si>
    <t>VASLI \MATIN\\\</t>
  </si>
  <si>
    <t>MATIN VASLI</t>
  </si>
  <si>
    <t>VASLI</t>
  </si>
  <si>
    <t>MATIN</t>
  </si>
  <si>
    <t>46 MELISSA STREET</t>
  </si>
  <si>
    <t>matt.vasli@yahoo.com</t>
  </si>
  <si>
    <t>49.178.38.240</t>
  </si>
  <si>
    <t>06-56706</t>
  </si>
  <si>
    <t>ZIL434</t>
  </si>
  <si>
    <t>NADERPOUR \ARASH\\\</t>
  </si>
  <si>
    <t>ARASH NADERPOUR</t>
  </si>
  <si>
    <t>NADERPOUR</t>
  </si>
  <si>
    <t>ARASH</t>
  </si>
  <si>
    <t>13 DARCY ST</t>
  </si>
  <si>
    <t>arash.naderpour@gmail.com</t>
  </si>
  <si>
    <t>103.217.167.44</t>
  </si>
  <si>
    <t>06-56784</t>
  </si>
  <si>
    <t>ZIO324</t>
  </si>
  <si>
    <t>TAHERNEJAD \HOSSEIN\\\</t>
  </si>
  <si>
    <t>HOSSEIN TAHERNEJAD</t>
  </si>
  <si>
    <t>TAHERNEJAD</t>
  </si>
  <si>
    <t>U91-101 LEVESON STREET</t>
  </si>
  <si>
    <t>NORTH MELBOURNE VIC AU</t>
  </si>
  <si>
    <t>h.tahernejad@gmail.com</t>
  </si>
  <si>
    <t>27.32.150.123</t>
  </si>
  <si>
    <t>06-56792</t>
  </si>
  <si>
    <t>ZIW079</t>
  </si>
  <si>
    <t>NIKOUAKHLAGHRAD \HAMIDREZA\\\</t>
  </si>
  <si>
    <t>HAMIDREZA NIKOUAKHLAGHRAD</t>
  </si>
  <si>
    <t>NIKOUAKHLAGHRAD</t>
  </si>
  <si>
    <t>HAMIDREZA</t>
  </si>
  <si>
    <t>UNIT 102  7 REDHILL TCE</t>
  </si>
  <si>
    <t>hmrznik@gmail.com</t>
  </si>
  <si>
    <t>58.106.178.57</t>
  </si>
  <si>
    <t>06-56845</t>
  </si>
  <si>
    <t>ZIK356</t>
  </si>
  <si>
    <t>POURYAHYA \POURYA\\\</t>
  </si>
  <si>
    <t>POURYA POURYAHYA</t>
  </si>
  <si>
    <t>POURYAHYA</t>
  </si>
  <si>
    <t>POURYA</t>
  </si>
  <si>
    <t>6 PAXTON DRIVE</t>
  </si>
  <si>
    <t>dr.pourya@yahoo.com.au</t>
  </si>
  <si>
    <t>49.176.37.122</t>
  </si>
  <si>
    <t>06-56907</t>
  </si>
  <si>
    <t>ZIW204</t>
  </si>
  <si>
    <t>HOSSEINI \KAIVAN\\\</t>
  </si>
  <si>
    <t>KAIVAN HOSSEINI</t>
  </si>
  <si>
    <t>KAIVAN</t>
  </si>
  <si>
    <t>91 STUDLEY PARK ROAD</t>
  </si>
  <si>
    <t>kaivan@internode.on.net</t>
  </si>
  <si>
    <t>175.33.156.87</t>
  </si>
  <si>
    <t>06-56931</t>
  </si>
  <si>
    <t>ZIK515</t>
  </si>
  <si>
    <t>MORADI \FAZ\\\</t>
  </si>
  <si>
    <t>FAZ MORADI</t>
  </si>
  <si>
    <t>MORADI</t>
  </si>
  <si>
    <t>FAZ</t>
  </si>
  <si>
    <t>35 CASCADE ST</t>
  </si>
  <si>
    <t>BALWYN NORTH VIC AU</t>
  </si>
  <si>
    <t>moradi.faz@gmail.com</t>
  </si>
  <si>
    <t>144.136.218.234</t>
  </si>
  <si>
    <t>06-56964</t>
  </si>
  <si>
    <t>ZIL396</t>
  </si>
  <si>
    <t>MOLLAI \CHRISTINE\\\</t>
  </si>
  <si>
    <t>CHRISTINE MOLLAI</t>
  </si>
  <si>
    <t>MOLLAI</t>
  </si>
  <si>
    <t>PO BOX 608</t>
  </si>
  <si>
    <t>MOSMAN NSW AU</t>
  </si>
  <si>
    <t>ckmollai@hotmail.com</t>
  </si>
  <si>
    <t>14.200.133.76</t>
  </si>
  <si>
    <t>06-56985</t>
  </si>
  <si>
    <t>ZIW235</t>
  </si>
  <si>
    <t>DAKHIL ALIAN \GOLCHIN\\\</t>
  </si>
  <si>
    <t>GOLCHIN DAKHIL ALIAN</t>
  </si>
  <si>
    <t>DAKHIL ALIAN</t>
  </si>
  <si>
    <t>GOLCHIN</t>
  </si>
  <si>
    <t>4/1438 CENTRE ROAD</t>
  </si>
  <si>
    <t>golchin1367@yahoo.com</t>
  </si>
  <si>
    <t>220.244.173.251</t>
  </si>
  <si>
    <t>06-57028</t>
  </si>
  <si>
    <t>ZIW089</t>
  </si>
  <si>
    <t>JAMSHIDNEJAD \REZA\\\</t>
  </si>
  <si>
    <t>REZA JAMSHIDNEJAD</t>
  </si>
  <si>
    <t>JAMSHIDNEJAD</t>
  </si>
  <si>
    <t>REZA</t>
  </si>
  <si>
    <t>WHITE</t>
  </si>
  <si>
    <t>MORDIALLOC VIC AU</t>
  </si>
  <si>
    <t>reza3165@yahoo.com</t>
  </si>
  <si>
    <t>114.77.31.142</t>
  </si>
  <si>
    <t>06-57053</t>
  </si>
  <si>
    <t>ZIN036</t>
  </si>
  <si>
    <t>KOSHY \JERIN\\\</t>
  </si>
  <si>
    <t>JERIN KOSHY</t>
  </si>
  <si>
    <t>KOSHY</t>
  </si>
  <si>
    <t>JERIN</t>
  </si>
  <si>
    <t>402/29 NICHOLSON STREET</t>
  </si>
  <si>
    <t>BRUNSWICK EAST VIC AU</t>
  </si>
  <si>
    <t>sam.loui@gmail.com</t>
  </si>
  <si>
    <t>121.45.253.217</t>
  </si>
  <si>
    <t>06-57055</t>
  </si>
  <si>
    <t>ZIK348</t>
  </si>
  <si>
    <t>AGHAYAN \ARASH\\\</t>
  </si>
  <si>
    <t>ARASH AGHAYAN</t>
  </si>
  <si>
    <t>AGHAYAN</t>
  </si>
  <si>
    <t>210 3 SNAKE GULLY DRIVE</t>
  </si>
  <si>
    <t>BUNDOORA VIC AU</t>
  </si>
  <si>
    <t>aaghayan@yahoo.com</t>
  </si>
  <si>
    <t>122.110.223.172</t>
  </si>
  <si>
    <t>06-57113</t>
  </si>
  <si>
    <t>ZIK126</t>
  </si>
  <si>
    <t>AMINI \NAZANIN\\\</t>
  </si>
  <si>
    <t>NAZANIN AMINI</t>
  </si>
  <si>
    <t>AMINI</t>
  </si>
  <si>
    <t>NAZANIN</t>
  </si>
  <si>
    <t>28 WARATAH AVE</t>
  </si>
  <si>
    <t>nazanin.amini@gmail.com</t>
  </si>
  <si>
    <t>139.130.99.108</t>
  </si>
  <si>
    <t>06-57211</t>
  </si>
  <si>
    <t>ZIK130</t>
  </si>
  <si>
    <t>TAHOURI TORKI \SEYED ALI\\\</t>
  </si>
  <si>
    <t>SEYED ALI TAHOURI TORKI</t>
  </si>
  <si>
    <t>TAHOURI TORKI</t>
  </si>
  <si>
    <t>SEYED ALI</t>
  </si>
  <si>
    <t>22 CHERITON DR</t>
  </si>
  <si>
    <t>MOOROOLBARK VIC AU</t>
  </si>
  <si>
    <t>mony1369@yahoo.com</t>
  </si>
  <si>
    <t>195.181.169.166</t>
  </si>
  <si>
    <t>06-57247</t>
  </si>
  <si>
    <t>ZIW102</t>
  </si>
  <si>
    <t>ELHAWARY \NOURA\\\</t>
  </si>
  <si>
    <t>NOURA ELHAWARY</t>
  </si>
  <si>
    <t>ELHAWARY</t>
  </si>
  <si>
    <t>NOURA</t>
  </si>
  <si>
    <t>7 GREEN VALLEY GROVE</t>
  </si>
  <si>
    <t>MEADOW HEIGHTS VIC AU</t>
  </si>
  <si>
    <t>noura.elhawary@gmail.com</t>
  </si>
  <si>
    <t>123.2.128.114</t>
  </si>
  <si>
    <t>06-57538</t>
  </si>
  <si>
    <t>ZIN428</t>
  </si>
  <si>
    <t>SALIMI \FARHAD\\\</t>
  </si>
  <si>
    <t>FARHAD SALIMI</t>
  </si>
  <si>
    <t>SALIMI</t>
  </si>
  <si>
    <t>FARHAD</t>
  </si>
  <si>
    <t>8/12 BALCOMBE RD</t>
  </si>
  <si>
    <t>farhadsalimi84@gmail.com</t>
  </si>
  <si>
    <t>59.191.218.77</t>
  </si>
  <si>
    <t>06-57676</t>
  </si>
  <si>
    <t>ZIK544</t>
  </si>
  <si>
    <t>TATARI \ALNI\\\</t>
  </si>
  <si>
    <t>ALNI TATARI</t>
  </si>
  <si>
    <t>TATARI</t>
  </si>
  <si>
    <t>ALNI</t>
  </si>
  <si>
    <t>25 WATERSIDE PL</t>
  </si>
  <si>
    <t>alni.tatari@gmail.com</t>
  </si>
  <si>
    <t>202.161.74.122</t>
  </si>
  <si>
    <t>06-57756</t>
  </si>
  <si>
    <t>ZIO085</t>
  </si>
  <si>
    <t>MEFTAHI \NAS\\\</t>
  </si>
  <si>
    <t>NAS MEFTAHI</t>
  </si>
  <si>
    <t>MEFTAHI</t>
  </si>
  <si>
    <t>NAS</t>
  </si>
  <si>
    <t>2/30 PARA ROAD</t>
  </si>
  <si>
    <t>LOWER PLENTY ROAD VIC AU</t>
  </si>
  <si>
    <t>nastaran.meftahi@gmail.com</t>
  </si>
  <si>
    <t>123.2.135.98</t>
  </si>
  <si>
    <t>06-57766</t>
  </si>
  <si>
    <t>ZIL031</t>
  </si>
  <si>
    <t>LUTZ \ASHTON\\\</t>
  </si>
  <si>
    <t>ASHTON LUTZ</t>
  </si>
  <si>
    <t>LUTZ</t>
  </si>
  <si>
    <t>ASHTON</t>
  </si>
  <si>
    <t>49 CAPEL ST</t>
  </si>
  <si>
    <t>Ashton.Lutz399@outlook.com</t>
  </si>
  <si>
    <t>108.21.250.177</t>
  </si>
  <si>
    <t>06-57779</t>
  </si>
  <si>
    <t>ZIW215</t>
  </si>
  <si>
    <t>FALLAH \IMAN\\\</t>
  </si>
  <si>
    <t>IMAN FALLAH</t>
  </si>
  <si>
    <t>FALLAH</t>
  </si>
  <si>
    <t>IMAN</t>
  </si>
  <si>
    <t>8 WITHAZEL DR SOUTH MORANG</t>
  </si>
  <si>
    <t>SOUTH MORANG VIC AU</t>
  </si>
  <si>
    <t>zahedisaman87@gmail.com</t>
  </si>
  <si>
    <t>14.203.72.40</t>
  </si>
  <si>
    <t>06-57836</t>
  </si>
  <si>
    <t>ZIN536</t>
  </si>
  <si>
    <t>SHIRZAD \FLORAN\\\</t>
  </si>
  <si>
    <t>FLORAN SHIRZAD</t>
  </si>
  <si>
    <t>SHIRZAD</t>
  </si>
  <si>
    <t>FLORAN</t>
  </si>
  <si>
    <t>54 DANDELION DRIVE</t>
  </si>
  <si>
    <t>ROWVILLE VIC AU</t>
  </si>
  <si>
    <t>floranshirzad9@gmail.com</t>
  </si>
  <si>
    <t>136.186.103.65</t>
  </si>
  <si>
    <t>06-57837</t>
  </si>
  <si>
    <t>ZIW128</t>
  </si>
  <si>
    <t>MEHR \STEPHANIE\\\</t>
  </si>
  <si>
    <t>STEPHANIE MEHR</t>
  </si>
  <si>
    <t>MEHR</t>
  </si>
  <si>
    <t>STEPHANIE</t>
  </si>
  <si>
    <t>5 HAMPSHIRE COURT</t>
  </si>
  <si>
    <t>stephari@gmail.com</t>
  </si>
  <si>
    <t>172.196.79.219</t>
  </si>
  <si>
    <t>06-57870</t>
  </si>
  <si>
    <t>ZIO400</t>
  </si>
  <si>
    <t>27.32.151.204</t>
  </si>
  <si>
    <t>06-57898</t>
  </si>
  <si>
    <t>ZIO119</t>
  </si>
  <si>
    <t>ALIZADEH \SEYED MORTEZA\\\</t>
  </si>
  <si>
    <t>SEYED MORTEZA ALIZADEH</t>
  </si>
  <si>
    <t>SEYED MORTEZA</t>
  </si>
  <si>
    <t>23 WHITE STREET</t>
  </si>
  <si>
    <t>FOOTSCRAY VIC AU</t>
  </si>
  <si>
    <t>seyed.alizadeh@vu.edu.au</t>
  </si>
  <si>
    <t>140.159.2.226</t>
  </si>
  <si>
    <t>06-57917</t>
  </si>
  <si>
    <t>ZIN028</t>
  </si>
  <si>
    <t>ZIBA \MASOUD\\\</t>
  </si>
  <si>
    <t>MASOUD ZIBA</t>
  </si>
  <si>
    <t>ZIBA</t>
  </si>
  <si>
    <t>MASOUD</t>
  </si>
  <si>
    <t>21 REED CRESCENT</t>
  </si>
  <si>
    <t>TAYLORS LAKES VIC AU</t>
  </si>
  <si>
    <t>mas.ziba@hotmail.com</t>
  </si>
  <si>
    <t>210.49.212.77</t>
  </si>
  <si>
    <t>06-57921</t>
  </si>
  <si>
    <t>ZIL082</t>
  </si>
  <si>
    <t>MIRZABABAEI \MEHDI\\\</t>
  </si>
  <si>
    <t>MEHDI MIRZABABAEI</t>
  </si>
  <si>
    <t>MIRZABABAEI</t>
  </si>
  <si>
    <t>MEHDI</t>
  </si>
  <si>
    <t>404/181 MANNINGHAM ROAD</t>
  </si>
  <si>
    <t>anita_vipa@yahoo.com</t>
  </si>
  <si>
    <t>123.2.169.168</t>
  </si>
  <si>
    <t>06-57945</t>
  </si>
  <si>
    <t>ZIW033</t>
  </si>
  <si>
    <t>TALEBLOU \SHAHABALDIN\\\</t>
  </si>
  <si>
    <t>SHAHABALDIN TALEBLOU</t>
  </si>
  <si>
    <t>TALEBLOU</t>
  </si>
  <si>
    <t>SHAHABALDIN</t>
  </si>
  <si>
    <t>1  1307 FERNTREE GULLY RD</t>
  </si>
  <si>
    <t>SCORESBY VIC AU</t>
  </si>
  <si>
    <t>shahab.taleblo@gmail.com</t>
  </si>
  <si>
    <t>110.174.93.2</t>
  </si>
  <si>
    <t>06-57953</t>
  </si>
  <si>
    <t>ZIW159</t>
  </si>
  <si>
    <t>LAHOOTI \LALLEH\\\</t>
  </si>
  <si>
    <t>LALLEH LAHOOTI</t>
  </si>
  <si>
    <t>LAHOOTI</t>
  </si>
  <si>
    <t>LALLEH</t>
  </si>
  <si>
    <t>24 STUDLEY STREET</t>
  </si>
  <si>
    <t>Lalleh.Lahooti@gmail.com</t>
  </si>
  <si>
    <t>60.224.100.88</t>
  </si>
  <si>
    <t>06-57965</t>
  </si>
  <si>
    <t>ZIW071</t>
  </si>
  <si>
    <t>EDALATIAN AZIZI \EHSAN\\\</t>
  </si>
  <si>
    <t>EHSAN EDALATIAN AZIZI</t>
  </si>
  <si>
    <t>EDALATIAN AZIZI</t>
  </si>
  <si>
    <t>EHSAN</t>
  </si>
  <si>
    <t>304/36 DARLING ST</t>
  </si>
  <si>
    <t>SOUTH YARRA VIC AU</t>
  </si>
  <si>
    <t>ehsan.md@gmail.com</t>
  </si>
  <si>
    <t>49.178.22.124</t>
  </si>
  <si>
    <t>06-57988</t>
  </si>
  <si>
    <t>ZIW152</t>
  </si>
  <si>
    <t>IRAN SHAHI \MAJID\\\</t>
  </si>
  <si>
    <t>MAJID IRAN SHAHI</t>
  </si>
  <si>
    <t>IRAN SHAHI</t>
  </si>
  <si>
    <t>MAJID</t>
  </si>
  <si>
    <t>28 CAPITAL AVENUE</t>
  </si>
  <si>
    <t>majidtow1987@yahoo.com</t>
  </si>
  <si>
    <t>61.68.219.35</t>
  </si>
  <si>
    <t>06-57994</t>
  </si>
  <si>
    <t>ZIL597</t>
  </si>
  <si>
    <t>DAVOODI \PEJMAN\\\</t>
  </si>
  <si>
    <t>PEJMAN DAVOODI</t>
  </si>
  <si>
    <t>PEJMAN</t>
  </si>
  <si>
    <t>12/1 PETYYS LANE</t>
  </si>
  <si>
    <t>pejman.davoodi@yahoo.com.au</t>
  </si>
  <si>
    <t>101.180.144.186</t>
  </si>
  <si>
    <t>P</t>
  </si>
  <si>
    <t>06-58636</t>
  </si>
  <si>
    <t>ZIW139</t>
  </si>
  <si>
    <t>ROOEINTAN \YASAMIN\\\</t>
  </si>
  <si>
    <t>YASAMIN ROOEINTAN</t>
  </si>
  <si>
    <t>ROOEINTAN</t>
  </si>
  <si>
    <t>YASAMIN</t>
  </si>
  <si>
    <t>1/18 NEW ST</t>
  </si>
  <si>
    <t>RINGWOOD VIC AU</t>
  </si>
  <si>
    <t>yasminerooeintan89@gmail.com</t>
  </si>
  <si>
    <t>49.185.250.213</t>
  </si>
  <si>
    <t>ZIN694</t>
  </si>
  <si>
    <t>06-58772</t>
  </si>
  <si>
    <t>ZIN373</t>
  </si>
  <si>
    <t>RASHIDI \ELLY\\\</t>
  </si>
  <si>
    <t>ELLY RASHIDI</t>
  </si>
  <si>
    <t>RASHIDI</t>
  </si>
  <si>
    <t>ELLY</t>
  </si>
  <si>
    <t>4 GLACK WAY</t>
  </si>
  <si>
    <t>ell_yr@hotmail.com</t>
  </si>
  <si>
    <t>101.165.207.78</t>
  </si>
  <si>
    <t>D</t>
  </si>
  <si>
    <t>06-58793</t>
  </si>
  <si>
    <t>ZIL046</t>
  </si>
  <si>
    <t>AGAH \SHAHIN\\\</t>
  </si>
  <si>
    <t>SHAHIN AGAH</t>
  </si>
  <si>
    <t>AGAH</t>
  </si>
  <si>
    <t>UNIT 9-305 BRUNSWICK ROAD</t>
  </si>
  <si>
    <t>shahin.agah@yahoo.com</t>
  </si>
  <si>
    <t>120.21.158.15</t>
  </si>
  <si>
    <t>06-58842</t>
  </si>
  <si>
    <t>ZIL062</t>
  </si>
  <si>
    <t>KAZEMI \REZA\\\</t>
  </si>
  <si>
    <t>REZA KAZEMI</t>
  </si>
  <si>
    <t>KAZEMI</t>
  </si>
  <si>
    <t>9A / 337A NEPEAN HIGHWAY</t>
  </si>
  <si>
    <t>FRANKSTON VIC AU</t>
  </si>
  <si>
    <t>pooryah@gmail.com</t>
  </si>
  <si>
    <t>118.209.145.131</t>
  </si>
  <si>
    <t>06-58872</t>
  </si>
  <si>
    <t>ZIK113</t>
  </si>
  <si>
    <t>ALAVI \SEYEDEH NAHID\\\</t>
  </si>
  <si>
    <t>SEYEDEH NAHID ALAVI</t>
  </si>
  <si>
    <t>ALAVI</t>
  </si>
  <si>
    <t>SEYEDEH NAHID</t>
  </si>
  <si>
    <t>4/12 HOPE COURT</t>
  </si>
  <si>
    <t>snahidalavi@gmail.com</t>
  </si>
  <si>
    <t>110.174.79.71</t>
  </si>
  <si>
    <t>06-58977</t>
  </si>
  <si>
    <t>ZIW149</t>
  </si>
  <si>
    <t>YEGANEH \REZA\\\</t>
  </si>
  <si>
    <t>REZA YEGANEH</t>
  </si>
  <si>
    <t>YEGANEH</t>
  </si>
  <si>
    <t>2/2A SNOW ST</t>
  </si>
  <si>
    <t>KEILOR PARK VIC AU</t>
  </si>
  <si>
    <t>reza.y93@gmail.com</t>
  </si>
  <si>
    <t>49.199.179.116</t>
  </si>
  <si>
    <t>06-58984</t>
  </si>
  <si>
    <t>ZIW151</t>
  </si>
  <si>
    <t>MKRTCHYAN \ASYA\\\</t>
  </si>
  <si>
    <t>ASYA MKRTCHYAN</t>
  </si>
  <si>
    <t>MKRTCHYAN</t>
  </si>
  <si>
    <t>ASYA</t>
  </si>
  <si>
    <t>RTS 6/7 LMTC</t>
  </si>
  <si>
    <t>12 HARDNER ROAD</t>
  </si>
  <si>
    <t>MOUNT WAVERLEY VIC AU</t>
  </si>
  <si>
    <t>nigina.rahi88@hotmail.com</t>
  </si>
  <si>
    <t>101.176.81.150</t>
  </si>
  <si>
    <t>3|6</t>
  </si>
  <si>
    <t>06-59033</t>
  </si>
  <si>
    <t>JAFARI \MOHSEN\\\</t>
  </si>
  <si>
    <t>MOHSEN JAFARI</t>
  </si>
  <si>
    <t>8/75 WESTBURY STREET</t>
  </si>
  <si>
    <t>aarash.jjafari@gmail.com</t>
  </si>
  <si>
    <t>155.143.247.243</t>
  </si>
  <si>
    <t>Q</t>
  </si>
  <si>
    <t>06-59099</t>
  </si>
  <si>
    <t>ZIO052</t>
  </si>
  <si>
    <t>NIAZI \ALI\\\</t>
  </si>
  <si>
    <t>ALI NIAZI</t>
  </si>
  <si>
    <t>NIAZI</t>
  </si>
  <si>
    <t>G04 35 PRINCETON TCE</t>
  </si>
  <si>
    <t>ali.niazi.uow@gmail.com</t>
  </si>
  <si>
    <t>1.152.111.12</t>
  </si>
  <si>
    <t>06-59107</t>
  </si>
  <si>
    <t>ZIO543</t>
  </si>
  <si>
    <t>06-59111</t>
  </si>
  <si>
    <t>ZIN137</t>
  </si>
  <si>
    <t>SHAFAEI \YASHAR\\\</t>
  </si>
  <si>
    <t>YASHAR SHAFAEI</t>
  </si>
  <si>
    <t>SHAFAEI</t>
  </si>
  <si>
    <t>YASHAR</t>
  </si>
  <si>
    <t>50 CLAREMONT ST</t>
  </si>
  <si>
    <t>yshafaei@gmail.com</t>
  </si>
  <si>
    <t>112.141.52.118</t>
  </si>
  <si>
    <t>06-59135</t>
  </si>
  <si>
    <t>ZIW224</t>
  </si>
  <si>
    <t>MOLLAVERDI \MEHDI\\\</t>
  </si>
  <si>
    <t>MEHDI MOLLAVERDI</t>
  </si>
  <si>
    <t>MOLLAVERDI</t>
  </si>
  <si>
    <t>13 WINIFRED ST</t>
  </si>
  <si>
    <t>m.mollaverdi@gmail.com</t>
  </si>
  <si>
    <t>110.140.159.61</t>
  </si>
  <si>
    <t>06-59153</t>
  </si>
  <si>
    <t>ESMAEILI \DELARAM\\\</t>
  </si>
  <si>
    <t>DELARAM ESMAEILI</t>
  </si>
  <si>
    <t>ESMAEILI</t>
  </si>
  <si>
    <t>DELARAM</t>
  </si>
  <si>
    <t>1/8 TANDARA AVENUE</t>
  </si>
  <si>
    <t>esmaeilidelaram@yahoo.com</t>
  </si>
  <si>
    <t>124.188.33.149</t>
  </si>
  <si>
    <t>06-59168</t>
  </si>
  <si>
    <t>ZIW043</t>
  </si>
  <si>
    <t>ABRISHAMI \EBRAHIM\\\</t>
  </si>
  <si>
    <t>EBRAHIM ABRISHAMI</t>
  </si>
  <si>
    <t>ABRISHAMI</t>
  </si>
  <si>
    <t>EBRAHIM</t>
  </si>
  <si>
    <t>4/76 THE ESPLANADE</t>
  </si>
  <si>
    <t>ebrahim.abrishami@gmail.com</t>
  </si>
  <si>
    <t>122.110.94.226</t>
  </si>
  <si>
    <t>06-59175</t>
  </si>
  <si>
    <t>ZIW105</t>
  </si>
  <si>
    <t>MOGHBEL \ZAHRA\\\</t>
  </si>
  <si>
    <t>ZAHRA MOGHBEL</t>
  </si>
  <si>
    <t>MOGHBEL</t>
  </si>
  <si>
    <t>ZAHRA</t>
  </si>
  <si>
    <t>UNIT5  864 SWANSTON STREET</t>
  </si>
  <si>
    <t>zahra.moghbel@yahoo.com</t>
  </si>
  <si>
    <t>1.152.109.10</t>
  </si>
  <si>
    <t>06-59200</t>
  </si>
  <si>
    <t>ZIW074</t>
  </si>
  <si>
    <t>MARGHI \ANISA\\\</t>
  </si>
  <si>
    <t>ANISA MARGHI</t>
  </si>
  <si>
    <t>MARGHI</t>
  </si>
  <si>
    <t>ANISA</t>
  </si>
  <si>
    <t>72 THE GRANGE</t>
  </si>
  <si>
    <t>neecee@gmail.com</t>
  </si>
  <si>
    <t>120.21.54.173</t>
  </si>
  <si>
    <t>06-59217</t>
  </si>
  <si>
    <t>BOSTANI \REZA\\\</t>
  </si>
  <si>
    <t>REZA BOSTANI</t>
  </si>
  <si>
    <t>BOSTANI</t>
  </si>
  <si>
    <t>28 MONTIA STREET</t>
  </si>
  <si>
    <t>TARNEIT VIC AU</t>
  </si>
  <si>
    <t>m_r_bostani@yahoo.com</t>
  </si>
  <si>
    <t>1.136.110.222</t>
  </si>
  <si>
    <t>R</t>
  </si>
  <si>
    <t>06-59222</t>
  </si>
  <si>
    <t>ZIL449</t>
  </si>
  <si>
    <t>KHATIBI \ALIREZA\\\</t>
  </si>
  <si>
    <t>ALIREZA KHATIBI</t>
  </si>
  <si>
    <t>KHATIBI</t>
  </si>
  <si>
    <t>ALIREZA</t>
  </si>
  <si>
    <t>105/828 BURKE ROAD</t>
  </si>
  <si>
    <t>alireza_khatibi1980@yahoo.com</t>
  </si>
  <si>
    <t>121.211.51.29</t>
  </si>
  <si>
    <t>06-59235</t>
  </si>
  <si>
    <t>ZIH296</t>
  </si>
  <si>
    <t>SOTOUNZADEH \HAMID\\\</t>
  </si>
  <si>
    <t>HAMID SOTOUNZADEH</t>
  </si>
  <si>
    <t>SOTOUNZADEH</t>
  </si>
  <si>
    <t>HAMID</t>
  </si>
  <si>
    <t>42 HIGH STREET</t>
  </si>
  <si>
    <t>GLEN IRIS VIC</t>
  </si>
  <si>
    <t>hrsotounzadeh@gmail.com</t>
  </si>
  <si>
    <t>mobile.ticketmaster.us</t>
  </si>
  <si>
    <t>52.87.244.42</t>
  </si>
  <si>
    <t>06-59319</t>
  </si>
  <si>
    <t>ZIL273</t>
  </si>
  <si>
    <t>NARAYAN \JAI\\\</t>
  </si>
  <si>
    <t>JAI NARAYAN</t>
  </si>
  <si>
    <t>NARAYAN</t>
  </si>
  <si>
    <t>JAI</t>
  </si>
  <si>
    <t>71 BAILEYANA ST</t>
  </si>
  <si>
    <t>FRANKSTON SOUTH VIC AU</t>
  </si>
  <si>
    <t>jai.narayan@hotmail.com</t>
  </si>
  <si>
    <t>110.22.160.86</t>
  </si>
  <si>
    <t>06-59371</t>
  </si>
  <si>
    <t>ZIN206</t>
  </si>
  <si>
    <t>LEE \JEONG SOO\\\</t>
  </si>
  <si>
    <t>JEONG SOO LEE</t>
  </si>
  <si>
    <t>LEE</t>
  </si>
  <si>
    <t>JEONG SOO</t>
  </si>
  <si>
    <t>5/4A COLONSAY ROAD</t>
  </si>
  <si>
    <t>SPRINGVALE VIC AU</t>
  </si>
  <si>
    <t>gfresh85@hotmail.com</t>
  </si>
  <si>
    <t>122.111.69.113</t>
  </si>
  <si>
    <t>06-59423</t>
  </si>
  <si>
    <t>ZIW129</t>
  </si>
  <si>
    <t>SOUFI \AMIR\\\</t>
  </si>
  <si>
    <t>AMIR SOUFI</t>
  </si>
  <si>
    <t>SOUFI</t>
  </si>
  <si>
    <t>207/268 FLINDERS STREET</t>
  </si>
  <si>
    <t>Amirsoofix@gmail.com</t>
  </si>
  <si>
    <t>27.127.228.34</t>
  </si>
  <si>
    <t>06-59444</t>
  </si>
  <si>
    <t>ZIW108</t>
  </si>
  <si>
    <t>MOSTOWFIVALA \MILAD\\\</t>
  </si>
  <si>
    <t>MILAD MOSTOWFIVALA</t>
  </si>
  <si>
    <t>MOSTOWFIVALA</t>
  </si>
  <si>
    <t>MILAD</t>
  </si>
  <si>
    <t>110  1 DANKS STREET</t>
  </si>
  <si>
    <t>PORT MELBOURNE VIC AU</t>
  </si>
  <si>
    <t>miladmostowfi@yahoo.com</t>
  </si>
  <si>
    <t>49.185.253.145</t>
  </si>
  <si>
    <t>06-59451</t>
  </si>
  <si>
    <t>ZIK193</t>
  </si>
  <si>
    <t>MAZLOOMI \CHRIS\\\</t>
  </si>
  <si>
    <t>CHRIS MAZLOOMI</t>
  </si>
  <si>
    <t>MAZLOOMI</t>
  </si>
  <si>
    <t>CHRIS</t>
  </si>
  <si>
    <t>32 OREGON DRIVE</t>
  </si>
  <si>
    <t>cmazloomi@gmail.com</t>
  </si>
  <si>
    <t>49.177.238.227</t>
  </si>
  <si>
    <t>06-59452</t>
  </si>
  <si>
    <t>GHAMARYARI \HAMIDREZA\\\</t>
  </si>
  <si>
    <t>HAMIDREZA GHAMARYARI</t>
  </si>
  <si>
    <t>GHAMARYARI</t>
  </si>
  <si>
    <t>1/4 LA SCALA</t>
  </si>
  <si>
    <t>hr.ghamaryari78@hotmail.com</t>
  </si>
  <si>
    <t>49.199.14.219</t>
  </si>
  <si>
    <t>06-59460</t>
  </si>
  <si>
    <t>ZIW237</t>
  </si>
  <si>
    <t>BAHRAMIFAR \MOHAMMADAMIN\\\</t>
  </si>
  <si>
    <t>MOHAMMADAMIN BAHRAMIFAR</t>
  </si>
  <si>
    <t>BAHRAMIFAR</t>
  </si>
  <si>
    <t>MOHAMMADAMIN</t>
  </si>
  <si>
    <t>1 BLAMEY AVE</t>
  </si>
  <si>
    <t>MILL PARK VIC AU</t>
  </si>
  <si>
    <t>amin.bah1@hotmail.com</t>
  </si>
  <si>
    <t>122.110.29.236</t>
  </si>
  <si>
    <t>06-59498</t>
  </si>
  <si>
    <t>ZIN111</t>
  </si>
  <si>
    <t>AMELI \AMIRHOSSEIN\\\</t>
  </si>
  <si>
    <t>AMIRHOSSEIN AMELI</t>
  </si>
  <si>
    <t>AMELI</t>
  </si>
  <si>
    <t>AMIRHOSSEIN</t>
  </si>
  <si>
    <t>U 6 50 SAINT ELMO RD</t>
  </si>
  <si>
    <t>amirhosseinameli@gmail.com</t>
  </si>
  <si>
    <t>220.253.28.20</t>
  </si>
  <si>
    <t>06-59500</t>
  </si>
  <si>
    <t>ZIW081</t>
  </si>
  <si>
    <t>LABARRE \KENIA\\\</t>
  </si>
  <si>
    <t>KENIA LABARRE</t>
  </si>
  <si>
    <t>LABARRE</t>
  </si>
  <si>
    <t>KENIA</t>
  </si>
  <si>
    <t>1304E/888 COLLINS ST</t>
  </si>
  <si>
    <t>DOCKLANDS VIC AU</t>
  </si>
  <si>
    <t>kenialabarre75@gmail.com</t>
  </si>
  <si>
    <t>103.55.47.197</t>
  </si>
  <si>
    <t>06-59616</t>
  </si>
  <si>
    <t>J BOUSATTOUT \GEORGE\\\</t>
  </si>
  <si>
    <t>GEORGE J BOUSATTOUT</t>
  </si>
  <si>
    <t>J BOUSATTOUT</t>
  </si>
  <si>
    <t>GEORGE</t>
  </si>
  <si>
    <t>105 THE BOULEVARD</t>
  </si>
  <si>
    <t>THOMSTOWN VIC AU</t>
  </si>
  <si>
    <t>heifaarab1982@gmail.com</t>
  </si>
  <si>
    <t>110.175.50.250</t>
  </si>
  <si>
    <t>06-59855</t>
  </si>
  <si>
    <t>ZIW106</t>
  </si>
  <si>
    <t>SEZGIN \ESRA\\\</t>
  </si>
  <si>
    <t>ESRA SEZGIN</t>
  </si>
  <si>
    <t>SEZGIN</t>
  </si>
  <si>
    <t>ESRA</t>
  </si>
  <si>
    <t>35 MACKENZIE DRIVE</t>
  </si>
  <si>
    <t>WOLLERT VIC AU</t>
  </si>
  <si>
    <t>e.b.sezgin@hotmail.com</t>
  </si>
  <si>
    <t>121.219.103.245</t>
  </si>
  <si>
    <t>06-59908</t>
  </si>
  <si>
    <t>ZIK296</t>
  </si>
  <si>
    <t>ZADEH \SEYED NASER\\\</t>
  </si>
  <si>
    <t>SEYED NASER ZADEH</t>
  </si>
  <si>
    <t>ZADEH</t>
  </si>
  <si>
    <t>SEYED NASER</t>
  </si>
  <si>
    <t>45 SANIKY STREET</t>
  </si>
  <si>
    <t>naserkhavan@gmail.com</t>
  </si>
  <si>
    <t>120.21.87.158</t>
  </si>
  <si>
    <t>06-59918</t>
  </si>
  <si>
    <t>ZIW100</t>
  </si>
  <si>
    <t>DEAN \PAYMAN\\\</t>
  </si>
  <si>
    <t>PAYMAN DEAN</t>
  </si>
  <si>
    <t>DEAN</t>
  </si>
  <si>
    <t>PAYMAN</t>
  </si>
  <si>
    <t>34 WILGA ST</t>
  </si>
  <si>
    <t>payman.sh.m@gmail.com</t>
  </si>
  <si>
    <t>49.177.2.109</t>
  </si>
  <si>
    <t>06-59945</t>
  </si>
  <si>
    <t>ZIO304</t>
  </si>
  <si>
    <t>MOLLAHOSSEINI \ALI\\\</t>
  </si>
  <si>
    <t>ALI MOLLAHOSSEINI</t>
  </si>
  <si>
    <t>MOLLAHOSSEINI</t>
  </si>
  <si>
    <t>308/116 MARTIN STREET  BRIGHTO</t>
  </si>
  <si>
    <t>mhosseini.ali@gmail.com</t>
  </si>
  <si>
    <t>155.143.136.114</t>
  </si>
  <si>
    <t>DD</t>
  </si>
  <si>
    <t>06-59961</t>
  </si>
  <si>
    <t>ZIW050</t>
  </si>
  <si>
    <t>COGGER \SARAH\\\</t>
  </si>
  <si>
    <t>SARAH COGGER</t>
  </si>
  <si>
    <t>COGGER</t>
  </si>
  <si>
    <t>SARAH</t>
  </si>
  <si>
    <t>2/5 STORNOWAY ROAD</t>
  </si>
  <si>
    <t>sarahcogger@gmail.com</t>
  </si>
  <si>
    <t>120.21.81.78</t>
  </si>
  <si>
    <t>06-59967</t>
  </si>
  <si>
    <t>ZIK089</t>
  </si>
  <si>
    <t>SHOAEI \MERAN\\\</t>
  </si>
  <si>
    <t>MERAN SHOAEI</t>
  </si>
  <si>
    <t>SHOAEI</t>
  </si>
  <si>
    <t>MERAN</t>
  </si>
  <si>
    <t>3 VERNON STREET</t>
  </si>
  <si>
    <t>BRIGHTON EAST VIC AU</t>
  </si>
  <si>
    <t>meranmm@gmail.com</t>
  </si>
  <si>
    <t>144.132.100.200</t>
  </si>
  <si>
    <t>06-59993</t>
  </si>
  <si>
    <t>ZIW121</t>
  </si>
  <si>
    <t>JAVADI \TARANEH\\\</t>
  </si>
  <si>
    <t>TARANEH JAVADI</t>
  </si>
  <si>
    <t>JAVADI</t>
  </si>
  <si>
    <t>TARANEH</t>
  </si>
  <si>
    <t>406/91-93 TRAM ROAD</t>
  </si>
  <si>
    <t>taraneh.javadi3@gmail.com</t>
  </si>
  <si>
    <t>49.3.6.72</t>
  </si>
  <si>
    <t>07-10000</t>
  </si>
  <si>
    <t>ZIL338</t>
  </si>
  <si>
    <t>DAVARIFARD \ARMIN\\\</t>
  </si>
  <si>
    <t>ARMIN DAVARIFARD</t>
  </si>
  <si>
    <t>DAVARIFARD</t>
  </si>
  <si>
    <t>ARMIN</t>
  </si>
  <si>
    <t>4 CYPRESS CLOSE</t>
  </si>
  <si>
    <t>HAMPTON PARK VIC AU</t>
  </si>
  <si>
    <t>naghmehamdi@gmail.com</t>
  </si>
  <si>
    <t>110.144.6.42</t>
  </si>
  <si>
    <t>07-10045</t>
  </si>
  <si>
    <t>ZIW166</t>
  </si>
  <si>
    <t>OSANLOU \MAHBOUBEH\\\</t>
  </si>
  <si>
    <t>MAHBOUBEH OSANLOU</t>
  </si>
  <si>
    <t>OSANLOU</t>
  </si>
  <si>
    <t>MAHBOUBEH</t>
  </si>
  <si>
    <t>4/41 HODDLE STREET</t>
  </si>
  <si>
    <t>ESSENDON VIC AU</t>
  </si>
  <si>
    <t>ma_osanlou@yahoo.com</t>
  </si>
  <si>
    <t>49.199.110.147</t>
  </si>
  <si>
    <t>07-10161</t>
  </si>
  <si>
    <t>ZIW027</t>
  </si>
  <si>
    <t>MOJHDEH JUYBARI \NOUROLLAH\\\</t>
  </si>
  <si>
    <t>NOUROLLAH MOJHDEH JUYBARI</t>
  </si>
  <si>
    <t>MOJHDEH JUYBARI</t>
  </si>
  <si>
    <t>NOUROLLAH</t>
  </si>
  <si>
    <t>173 MILLS STREET</t>
  </si>
  <si>
    <t>ALTONA NORTH VIC AU</t>
  </si>
  <si>
    <t>noori31987@yahoo.com</t>
  </si>
  <si>
    <t>120.21.46.194</t>
  </si>
  <si>
    <t>07-10259</t>
  </si>
  <si>
    <t>ZIO242</t>
  </si>
  <si>
    <t>JALILI AFSHAR \SHANDIZ\\\</t>
  </si>
  <si>
    <t>SHANDIZ JALILI AFSHAR</t>
  </si>
  <si>
    <t>JALILI AFSHAR</t>
  </si>
  <si>
    <t>SHANDIZ</t>
  </si>
  <si>
    <t>2 RUSSELL DRYSDALE PL</t>
  </si>
  <si>
    <t>DIAMOND CREEK VIC AU</t>
  </si>
  <si>
    <t>shndz@yahoo.com</t>
  </si>
  <si>
    <t>115.187.156.111</t>
  </si>
  <si>
    <t>07-10289</t>
  </si>
  <si>
    <t>ZIH594</t>
  </si>
  <si>
    <t>TORABI \MARY\\\</t>
  </si>
  <si>
    <t>MARY TORABI</t>
  </si>
  <si>
    <t>TORABI</t>
  </si>
  <si>
    <t>MARY</t>
  </si>
  <si>
    <t>2/24 NOORDENNE AVE</t>
  </si>
  <si>
    <t>SEAHOLME VIC</t>
  </si>
  <si>
    <t>marytorabi@hotmail.com</t>
  </si>
  <si>
    <t>iphone.ticketmaster.us</t>
  </si>
  <si>
    <t>110.142.155.246</t>
  </si>
  <si>
    <t>07-10361</t>
  </si>
  <si>
    <t>ZIW015</t>
  </si>
  <si>
    <t>BORJIAN \SIMA\\\</t>
  </si>
  <si>
    <t>SIMA BORJIAN</t>
  </si>
  <si>
    <t>BORJIAN</t>
  </si>
  <si>
    <t>SIMA</t>
  </si>
  <si>
    <t>206/80 LA SCALA AVE</t>
  </si>
  <si>
    <t>sm.borjian@gmail.com</t>
  </si>
  <si>
    <t>49.199.151.206</t>
  </si>
  <si>
    <t>07-10419</t>
  </si>
  <si>
    <t>ZIW188</t>
  </si>
  <si>
    <t>HABIBI \MILAD\\\</t>
  </si>
  <si>
    <t>MILAD HABIBI</t>
  </si>
  <si>
    <t>HABIBI</t>
  </si>
  <si>
    <t>1/9 BARBARA AV</t>
  </si>
  <si>
    <t>Max_habibi_12@hotmail.com</t>
  </si>
  <si>
    <t>120.21.154.135</t>
  </si>
  <si>
    <t>07-10496</t>
  </si>
  <si>
    <t>ZIZ185</t>
  </si>
  <si>
    <t>OWLAD \MONICA\\\</t>
  </si>
  <si>
    <t>MONICA OWLAD</t>
  </si>
  <si>
    <t>OWLAD</t>
  </si>
  <si>
    <t>MONICA</t>
  </si>
  <si>
    <t>12 LERINA PLACE</t>
  </si>
  <si>
    <t>WHEELERS HILL VIC</t>
  </si>
  <si>
    <t>m.owlad@gmail.com</t>
  </si>
  <si>
    <t>52.55.166.31</t>
  </si>
  <si>
    <t>07-10879</t>
  </si>
  <si>
    <t>ZIW203</t>
  </si>
  <si>
    <t>ASSADI \SIAMAK\\\</t>
  </si>
  <si>
    <t>SIAMAK ASSADI</t>
  </si>
  <si>
    <t>ASSADI</t>
  </si>
  <si>
    <t>SIAMAK</t>
  </si>
  <si>
    <t>266 CHURCH RD</t>
  </si>
  <si>
    <t>siamakrmit@gmail.com</t>
  </si>
  <si>
    <t>124.188.26.23</t>
  </si>
  <si>
    <t>07-10938</t>
  </si>
  <si>
    <t>ZIL592</t>
  </si>
  <si>
    <t>UNIT 406</t>
  </si>
  <si>
    <t>07-11006</t>
  </si>
  <si>
    <t>ZIO520</t>
  </si>
  <si>
    <t>LEONOV \EVGENII\\\</t>
  </si>
  <si>
    <t>EVGENII LEONOV</t>
  </si>
  <si>
    <t>LEONOV</t>
  </si>
  <si>
    <t>EVGENII</t>
  </si>
  <si>
    <t>PRAHA</t>
  </si>
  <si>
    <t>VRSOVICKA</t>
  </si>
  <si>
    <t>PRAHA CZ</t>
  </si>
  <si>
    <t>CZ</t>
  </si>
  <si>
    <t>dobryleo19@gmail.com</t>
  </si>
  <si>
    <t>46.72.60.205</t>
  </si>
  <si>
    <t>07-11039</t>
  </si>
  <si>
    <t>ZIO370</t>
  </si>
  <si>
    <t>MOHAMMADIAN \GHAZALEH\\\</t>
  </si>
  <si>
    <t>GHAZALEH MOHAMMADIAN</t>
  </si>
  <si>
    <t>MOHAMMADIAN</t>
  </si>
  <si>
    <t>GHAZALEH</t>
  </si>
  <si>
    <t>124  PLENTY RIVER DRIVE</t>
  </si>
  <si>
    <t>GREENSBOROUGH VIC AU</t>
  </si>
  <si>
    <t>ghazalehmohammadian@yahoo.com</t>
  </si>
  <si>
    <t>118.209.82.199</t>
  </si>
  <si>
    <t>07-11102</t>
  </si>
  <si>
    <t>ZIW056</t>
  </si>
  <si>
    <t>PARSI \LEYLI\\\</t>
  </si>
  <si>
    <t>LEYLI PARSI</t>
  </si>
  <si>
    <t>PARSI</t>
  </si>
  <si>
    <t>LEYLI</t>
  </si>
  <si>
    <t>G02/9 WENWOOD STREET</t>
  </si>
  <si>
    <t>RINGWOOD EAST VIC AU</t>
  </si>
  <si>
    <t>leili.parsi@gmail.com</t>
  </si>
  <si>
    <t>203.220.97.144</t>
  </si>
  <si>
    <t>07-11143</t>
  </si>
  <si>
    <t>ZIZ677</t>
  </si>
  <si>
    <t>GHODRATY \RAMIN\\\</t>
  </si>
  <si>
    <t>RAMIN GHODRATY</t>
  </si>
  <si>
    <t>GHODRATY</t>
  </si>
  <si>
    <t>RAMIN</t>
  </si>
  <si>
    <t>4 KERANG PLACE</t>
  </si>
  <si>
    <t>THOMASTOWN VIC</t>
  </si>
  <si>
    <t>masda.colorbond@gmail.com</t>
  </si>
  <si>
    <t>54.146.178.223</t>
  </si>
  <si>
    <t>07-11171</t>
  </si>
  <si>
    <t>ZIH686</t>
  </si>
  <si>
    <t>NAJMI \PARVIN\\\</t>
  </si>
  <si>
    <t>PARVIN NAJMI</t>
  </si>
  <si>
    <t>NAJMI</t>
  </si>
  <si>
    <t>PARVIN</t>
  </si>
  <si>
    <t>7A JANE STREET</t>
  </si>
  <si>
    <t>MARION SA</t>
  </si>
  <si>
    <t>furutan_21163@hotmail.com</t>
  </si>
  <si>
    <t>07-11228</t>
  </si>
  <si>
    <t>ZIK498</t>
  </si>
  <si>
    <t>GHASEM ZADEH \HADI\\\</t>
  </si>
  <si>
    <t>HADI GHASEM ZADEH</t>
  </si>
  <si>
    <t>GHASEM ZADEH</t>
  </si>
  <si>
    <t>HADI</t>
  </si>
  <si>
    <t>108/200 LYGON STREET</t>
  </si>
  <si>
    <t>hadi.ghz@gmail.com</t>
  </si>
  <si>
    <t>165.225.98.96</t>
  </si>
  <si>
    <t>07-11239</t>
  </si>
  <si>
    <t>ZIL437</t>
  </si>
  <si>
    <t>KAZEMI \SAEEDE\\\</t>
  </si>
  <si>
    <t>SAEEDE KAZEMI</t>
  </si>
  <si>
    <t>SAEEDE</t>
  </si>
  <si>
    <t>2/12 COHEN STREET</t>
  </si>
  <si>
    <t>s_ka2003@yahoo.com</t>
  </si>
  <si>
    <t>49.3.214.167</t>
  </si>
  <si>
    <t>07-11341</t>
  </si>
  <si>
    <t>ZIO088</t>
  </si>
  <si>
    <t>HAMIDI \SHIMA\\\</t>
  </si>
  <si>
    <t>SHIMA HAMIDI</t>
  </si>
  <si>
    <t>HAMIDI</t>
  </si>
  <si>
    <t>SHIMA</t>
  </si>
  <si>
    <t>4/11 LEX GROVE</t>
  </si>
  <si>
    <t>h.shima04@gmail.com</t>
  </si>
  <si>
    <t>101.188.219.179</t>
  </si>
  <si>
    <t>07-11492</t>
  </si>
  <si>
    <t>ZIN010</t>
  </si>
  <si>
    <t>ALMASI \SARVENAZ\\\</t>
  </si>
  <si>
    <t>SARVENAZ ALMASI</t>
  </si>
  <si>
    <t>ALMASI</t>
  </si>
  <si>
    <t>SARVENAZ</t>
  </si>
  <si>
    <t>9 JESSIE HUNTER ST</t>
  </si>
  <si>
    <t>HADFIELD VIC AU</t>
  </si>
  <si>
    <t>naz.almasi@yahoo.com.au</t>
  </si>
  <si>
    <t>110.140.114.165</t>
  </si>
  <si>
    <t>07-11619</t>
  </si>
  <si>
    <t>ZIO467</t>
  </si>
  <si>
    <t>RAHIMIVAHED \SHAGHAYEGH\\\</t>
  </si>
  <si>
    <t>SHAGHAYEGH RAHIMIVAHED</t>
  </si>
  <si>
    <t>RAHIMIVAHED</t>
  </si>
  <si>
    <t>SHAGHAYEGH</t>
  </si>
  <si>
    <t>101/83 DRUMMOND ST.</t>
  </si>
  <si>
    <t>sheghy23_rv@yahoo.com</t>
  </si>
  <si>
    <t>175.34.160.170</t>
  </si>
  <si>
    <t>07-11629</t>
  </si>
  <si>
    <t>ZIW137</t>
  </si>
  <si>
    <t>KHOJASTEH \SARAH\\\</t>
  </si>
  <si>
    <t>SARAH KHOJASTEH</t>
  </si>
  <si>
    <t>KHOJASTEH</t>
  </si>
  <si>
    <t>21 MANTUNG CRESCENT</t>
  </si>
  <si>
    <t>sarahkhoj@gmail.com</t>
  </si>
  <si>
    <t>49.183.149.251</t>
  </si>
  <si>
    <t>07-11712</t>
  </si>
  <si>
    <t>ZIZ566</t>
  </si>
  <si>
    <t>SAGHAFI \SARA\\\</t>
  </si>
  <si>
    <t>SARA SAGHAFI</t>
  </si>
  <si>
    <t>SAGHAFI</t>
  </si>
  <si>
    <t>4/31 OLIVE STREET</t>
  </si>
  <si>
    <t>RESERVOIR VIC</t>
  </si>
  <si>
    <t>saghafi.sara@gmail.com</t>
  </si>
  <si>
    <t>07-11762</t>
  </si>
  <si>
    <t>ZIL238</t>
  </si>
  <si>
    <t>SEIFODDINI \ANOUSH\\\</t>
  </si>
  <si>
    <t>ANOUSH SEIFODDINI</t>
  </si>
  <si>
    <t>SEIFODDINI</t>
  </si>
  <si>
    <t>ANOUSH</t>
  </si>
  <si>
    <t>1C CASTLES RD</t>
  </si>
  <si>
    <t>ki_anoush@yahoo.com</t>
  </si>
  <si>
    <t>203.222.147.220</t>
  </si>
  <si>
    <t>07-11796</t>
  </si>
  <si>
    <t>ZIW145</t>
  </si>
  <si>
    <t>SHIRAZI \BEN\\\</t>
  </si>
  <si>
    <t>BEN SHIRAZI</t>
  </si>
  <si>
    <t>SHIRAZI</t>
  </si>
  <si>
    <t>BEN</t>
  </si>
  <si>
    <t>3/51 DISRAELI ST</t>
  </si>
  <si>
    <t>ben18855@yahoo.com</t>
  </si>
  <si>
    <t>121.214.111.47</t>
  </si>
  <si>
    <t>07-11806</t>
  </si>
  <si>
    <t>ZIL058</t>
  </si>
  <si>
    <t>21/ELIASOVA922/21</t>
  </si>
  <si>
    <t>PRAHA 6 CZ</t>
  </si>
  <si>
    <t>EMCL_2354732_103626823</t>
  </si>
  <si>
    <t>92.49.175.56</t>
  </si>
  <si>
    <t>07-11882</t>
  </si>
  <si>
    <t>ZIW010</t>
  </si>
  <si>
    <t>RADFAR \ALIREZA\\\</t>
  </si>
  <si>
    <t>ALIREZA RADFAR</t>
  </si>
  <si>
    <t>RADFAR</t>
  </si>
  <si>
    <t>1731 DANDENONG ROAD</t>
  </si>
  <si>
    <t>OAKLEIGH EAST VIC AU</t>
  </si>
  <si>
    <t>Rez.radfar@outlook.com</t>
  </si>
  <si>
    <t>49.3.187.83</t>
  </si>
  <si>
    <t>07-11901</t>
  </si>
  <si>
    <t>ZIK242</t>
  </si>
  <si>
    <t>SARUKHANI \HAMID\\\</t>
  </si>
  <si>
    <t>HAMID SARUKHANI</t>
  </si>
  <si>
    <t>SARUKHANI</t>
  </si>
  <si>
    <t>U2 288 TUCKER RD</t>
  </si>
  <si>
    <t>ORMOND VIC AU</t>
  </si>
  <si>
    <t>sarukhani_h@yahoo.com</t>
  </si>
  <si>
    <t>203.221.225.189</t>
  </si>
  <si>
    <t>07-11928</t>
  </si>
  <si>
    <t>NARIMIIVELI \SOORIEH\\\</t>
  </si>
  <si>
    <t>SOORIEH NARIMIIVELI</t>
  </si>
  <si>
    <t>NARIMIIVELI</t>
  </si>
  <si>
    <t>SOORIEH</t>
  </si>
  <si>
    <t>31HILLCROFT DR</t>
  </si>
  <si>
    <t>soori2005@yahoo.com.au</t>
  </si>
  <si>
    <t>144.132.39.229</t>
  </si>
  <si>
    <t>07-11931</t>
  </si>
  <si>
    <t>ZIH092</t>
  </si>
  <si>
    <t>ATABEIKI \KIARASH\\\</t>
  </si>
  <si>
    <t>KIARASH ATABEIKI</t>
  </si>
  <si>
    <t>ATABEIKI</t>
  </si>
  <si>
    <t>KIARASH</t>
  </si>
  <si>
    <t>MAIN ROAD</t>
  </si>
  <si>
    <t>UNIT 2 /19</t>
  </si>
  <si>
    <t>VIC VIC</t>
  </si>
  <si>
    <t>atabeiki@yahoo.com</t>
  </si>
  <si>
    <t>54.234.125.231</t>
  </si>
  <si>
    <t>07-11956</t>
  </si>
  <si>
    <t>ZIK366</t>
  </si>
  <si>
    <t>AHADI \NAVID\\\</t>
  </si>
  <si>
    <t>NAVID AHADI</t>
  </si>
  <si>
    <t>AHADI</t>
  </si>
  <si>
    <t>NAVID</t>
  </si>
  <si>
    <t>5 OXFORD STREET</t>
  </si>
  <si>
    <t>navid.ahadi.mec@gmail.com</t>
  </si>
  <si>
    <t>120.148.64.70</t>
  </si>
  <si>
    <t>07-11958</t>
  </si>
  <si>
    <t>ZIW032</t>
  </si>
  <si>
    <t>DALILI \LADAN\\\</t>
  </si>
  <si>
    <t>LADAN DALILI</t>
  </si>
  <si>
    <t>DALILI</t>
  </si>
  <si>
    <t>LADAN</t>
  </si>
  <si>
    <t>312/490 ELGAR RD</t>
  </si>
  <si>
    <t>ladan.dalili86@gmail.com</t>
  </si>
  <si>
    <t>49.177.230.181</t>
  </si>
  <si>
    <t>07-11970</t>
  </si>
  <si>
    <t>ZIO169</t>
  </si>
  <si>
    <t>SEID \SEYD MOHAMMAD REZA\\\</t>
  </si>
  <si>
    <t>SEYD MOHAMMAD REZA SEID</t>
  </si>
  <si>
    <t>SEID</t>
  </si>
  <si>
    <t>SEYD MOHAMMAD REZA</t>
  </si>
  <si>
    <t>5 EMMA COURT</t>
  </si>
  <si>
    <t>BERWICK VIC AU</t>
  </si>
  <si>
    <t>rezaseid5@gmail.com</t>
  </si>
  <si>
    <t>103.217.167.225</t>
  </si>
  <si>
    <t>07-11999</t>
  </si>
  <si>
    <t>ZIW135</t>
  </si>
  <si>
    <t>TAFAGHODI \ARMITA\\\</t>
  </si>
  <si>
    <t>ARMITA TAFAGHODI</t>
  </si>
  <si>
    <t>TAFAGHODI</t>
  </si>
  <si>
    <t>ARMITA</t>
  </si>
  <si>
    <t>1/17 PERSHING ST</t>
  </si>
  <si>
    <t>armita_tafaghodi@yahoo.com</t>
  </si>
  <si>
    <t>14.201.97.113</t>
  </si>
  <si>
    <t>07-12027</t>
  </si>
  <si>
    <t>ZIW125</t>
  </si>
  <si>
    <t>KESHAVARZI \HORMOZ\\\</t>
  </si>
  <si>
    <t>HORMOZ KESHAVARZI</t>
  </si>
  <si>
    <t>KESHAVARZI</t>
  </si>
  <si>
    <t>HORMOZ</t>
  </si>
  <si>
    <t>2/188 POLICE RD</t>
  </si>
  <si>
    <t>MULGRAVE VIC AU</t>
  </si>
  <si>
    <t>hormoz_keshavarzi@yahoo.com</t>
  </si>
  <si>
    <t>120.21.1.209</t>
  </si>
  <si>
    <t>07-12042</t>
  </si>
  <si>
    <t>ZMV132</t>
  </si>
  <si>
    <t>Al Chamaa/Najib</t>
  </si>
  <si>
    <t>Najib Al Chamaa</t>
  </si>
  <si>
    <t>Al Chamaa</t>
  </si>
  <si>
    <t>Najib</t>
  </si>
  <si>
    <t>1707/180 City Road</t>
  </si>
  <si>
    <t>South Bank  VIC</t>
  </si>
  <si>
    <t>nachamaa@hotmail.com</t>
  </si>
  <si>
    <t>pci.ticketmaster.au</t>
  </si>
  <si>
    <t>1|9</t>
  </si>
  <si>
    <t>07-12053</t>
  </si>
  <si>
    <t>ZIW193</t>
  </si>
  <si>
    <t>KHOSROWSHAHI \ELHAM\\\</t>
  </si>
  <si>
    <t>ELHAM KHOSROWSHAHI</t>
  </si>
  <si>
    <t>KHOSROWSHAHI</t>
  </si>
  <si>
    <t>ELHAM</t>
  </si>
  <si>
    <t>2A STANLEY STREET</t>
  </si>
  <si>
    <t>WILLIAMSTOWN VIC AU</t>
  </si>
  <si>
    <t>elaji121@gmail.com</t>
  </si>
  <si>
    <t>27.33.88.39</t>
  </si>
  <si>
    <t>07-12090</t>
  </si>
  <si>
    <t>ZIN164</t>
  </si>
  <si>
    <t>MOHAMMADI \SAHRA\\\</t>
  </si>
  <si>
    <t>SAHRA MOHAMMADI</t>
  </si>
  <si>
    <t>MOHAMMADI</t>
  </si>
  <si>
    <t>SAHRA</t>
  </si>
  <si>
    <t>166/11 VICTORIA ST</t>
  </si>
  <si>
    <t>8memory8@gmail.com</t>
  </si>
  <si>
    <t>128.250.0.109</t>
  </si>
  <si>
    <t>STUDENT15</t>
  </si>
  <si>
    <t>07-12103</t>
  </si>
  <si>
    <t>ZIH451</t>
  </si>
  <si>
    <t>4 BERTINI DRIVE</t>
  </si>
  <si>
    <t>GREENVALE VIC</t>
  </si>
  <si>
    <t>07-12190</t>
  </si>
  <si>
    <t>ZIW045</t>
  </si>
  <si>
    <t>RAHMANI \HAJ\\\</t>
  </si>
  <si>
    <t>HAJ RAHMANI</t>
  </si>
  <si>
    <t>RAHMANI</t>
  </si>
  <si>
    <t>HAJ</t>
  </si>
  <si>
    <t>1/9 FRENCH STREET</t>
  </si>
  <si>
    <t>NOBLE PARK VIC AU</t>
  </si>
  <si>
    <t>haj.rahmani91@gmail.com</t>
  </si>
  <si>
    <t>49.199.121.15</t>
  </si>
  <si>
    <t>07-12304</t>
  </si>
  <si>
    <t>ZIL377</t>
  </si>
  <si>
    <t>PARSAMANESH \MARIANA\\\</t>
  </si>
  <si>
    <t>MARIANA PARSAMANESH</t>
  </si>
  <si>
    <t>PARSAMANESH</t>
  </si>
  <si>
    <t>MARIANA</t>
  </si>
  <si>
    <t>17 SMITH ST</t>
  </si>
  <si>
    <t>HAMPTON VIC AU</t>
  </si>
  <si>
    <t>mariana_parsa@yahoo.com.au</t>
  </si>
  <si>
    <t>203.220.207.245</t>
  </si>
  <si>
    <t>07-12323</t>
  </si>
  <si>
    <t>ZIW091</t>
  </si>
  <si>
    <t>YEGAN \PARISA\\\</t>
  </si>
  <si>
    <t>PARISA YEGAN</t>
  </si>
  <si>
    <t>YEGAN</t>
  </si>
  <si>
    <t>PARISA</t>
  </si>
  <si>
    <t>19 ALPINE CRESCENT</t>
  </si>
  <si>
    <t>NOBLE PARK NORTH VIC AU</t>
  </si>
  <si>
    <t>parisariyaz@yahoo.com</t>
  </si>
  <si>
    <t>120.147.160.133</t>
  </si>
  <si>
    <t>07-12448</t>
  </si>
  <si>
    <t>ZIW194</t>
  </si>
  <si>
    <t>MEMARIAN \LEILA\\\</t>
  </si>
  <si>
    <t>LEILA MEMARIAN</t>
  </si>
  <si>
    <t>MEMARIAN</t>
  </si>
  <si>
    <t>APN PROPERTY GROUP  LVL 30  10</t>
  </si>
  <si>
    <t>mr.nobahar@gmail.com</t>
  </si>
  <si>
    <t>211.28.205.29</t>
  </si>
  <si>
    <t>07-12451</t>
  </si>
  <si>
    <t>ZIO247</t>
  </si>
  <si>
    <t>BARATI \MARYAM\\\</t>
  </si>
  <si>
    <t>MARYAM BARATI</t>
  </si>
  <si>
    <t>BARATI</t>
  </si>
  <si>
    <t>MARYAM</t>
  </si>
  <si>
    <t>1/70 MCCULLOCH ST</t>
  </si>
  <si>
    <t>maryam_ba60@yahoo.com</t>
  </si>
  <si>
    <t>59.102.43.123</t>
  </si>
  <si>
    <t>07-12458</t>
  </si>
  <si>
    <t>ZIO103</t>
  </si>
  <si>
    <t>1.152.107.148</t>
  </si>
  <si>
    <t>07-12476</t>
  </si>
  <si>
    <t>ZIN101</t>
  </si>
  <si>
    <t>ADHAMI \NARGES\\\</t>
  </si>
  <si>
    <t>NARGES ADHAMI</t>
  </si>
  <si>
    <t>ADHAMI</t>
  </si>
  <si>
    <t>NARGES</t>
  </si>
  <si>
    <t>2/12 CHARLTON STREET  BLACKBUR</t>
  </si>
  <si>
    <t>nargesadhami@gmail.com</t>
  </si>
  <si>
    <t>144.136.185.239</t>
  </si>
  <si>
    <t>07-12508</t>
  </si>
  <si>
    <t>ZIH692</t>
  </si>
  <si>
    <t>TORKAMANI \MARZI\\\</t>
  </si>
  <si>
    <t>MARZI TORKAMANI</t>
  </si>
  <si>
    <t>TORKAMANI</t>
  </si>
  <si>
    <t>MARZI</t>
  </si>
  <si>
    <t>PO BOX 160</t>
  </si>
  <si>
    <t>YARRA GLEN VIC</t>
  </si>
  <si>
    <t>marzie_torkamani@yahoo.com</t>
  </si>
  <si>
    <t>07-17727</t>
  </si>
  <si>
    <t>OCO246</t>
  </si>
  <si>
    <t>DEHGHAN</t>
  </si>
  <si>
    <t>pci.venue.au</t>
  </si>
  <si>
    <t>M-TYPE</t>
  </si>
  <si>
    <t>07-18615</t>
  </si>
  <si>
    <t>ZIK346</t>
  </si>
  <si>
    <t>NARGESSI \ALAN\\\</t>
  </si>
  <si>
    <t>ALAN NARGESSI</t>
  </si>
  <si>
    <t>NARGESSI</t>
  </si>
  <si>
    <t>ALAN</t>
  </si>
  <si>
    <t>307/770B TOORAK ROAD</t>
  </si>
  <si>
    <t>GLEN IRIS VIC AU</t>
  </si>
  <si>
    <t>nargessi@gmail.com</t>
  </si>
  <si>
    <t>118.127.122.147</t>
  </si>
  <si>
    <t>07-18678</t>
  </si>
  <si>
    <t>ZIW136</t>
  </si>
  <si>
    <t>07-18700</t>
  </si>
  <si>
    <t>ZIN505</t>
  </si>
  <si>
    <t>PEACOCK \AMELIA\\\</t>
  </si>
  <si>
    <t>AMELIA PEACOCK</t>
  </si>
  <si>
    <t>PEACOCK</t>
  </si>
  <si>
    <t>AMELIA</t>
  </si>
  <si>
    <t>51 BRICKWORKS DRIVE</t>
  </si>
  <si>
    <t>ameliapeacock@hotmail.com</t>
  </si>
  <si>
    <t>220.240.152.215</t>
  </si>
  <si>
    <t>07-18711</t>
  </si>
  <si>
    <t>ZIN295</t>
  </si>
  <si>
    <t>SADEGHI \CRYSTAL\\\</t>
  </si>
  <si>
    <t>CRYSTAL SADEGHI</t>
  </si>
  <si>
    <t>SADEGHI</t>
  </si>
  <si>
    <t>CRYSTAL</t>
  </si>
  <si>
    <t>14 CAUSEWAY BOULEVARD</t>
  </si>
  <si>
    <t>alanasadeghi@gmail.com</t>
  </si>
  <si>
    <t>220.245.208.7</t>
  </si>
  <si>
    <t>07-18737</t>
  </si>
  <si>
    <t>ZIK011</t>
  </si>
  <si>
    <t>AZARI \BABAK\\\</t>
  </si>
  <si>
    <t>BABAK AZARI</t>
  </si>
  <si>
    <t>AZARI</t>
  </si>
  <si>
    <t>1367 MALVERN ROAD</t>
  </si>
  <si>
    <t>MALVERN VIC AU</t>
  </si>
  <si>
    <t>info@eleganceiniron.com.au</t>
  </si>
  <si>
    <t>220.245.39.45</t>
  </si>
  <si>
    <t>07-18745</t>
  </si>
  <si>
    <t>ZIW175</t>
  </si>
  <si>
    <t>KOUSHKEBAGHI \NAVID\\\</t>
  </si>
  <si>
    <t>NAVID KOUSHKEBAGHI</t>
  </si>
  <si>
    <t>KOUSHKEBAGHI</t>
  </si>
  <si>
    <t>1 JONAH PARADE</t>
  </si>
  <si>
    <t>DEER PARK VIC AU</t>
  </si>
  <si>
    <t>navidkb10@gmail.com</t>
  </si>
  <si>
    <t>220.245.192.242</t>
  </si>
  <si>
    <t>07-18834</t>
  </si>
  <si>
    <t>ZIW238</t>
  </si>
  <si>
    <t>PAPPIN \HAYLEY\\\</t>
  </si>
  <si>
    <t>HAYLEY PAPPIN</t>
  </si>
  <si>
    <t>PAPPIN</t>
  </si>
  <si>
    <t>HAYLEY</t>
  </si>
  <si>
    <t>12 BEAUFORT ROAD</t>
  </si>
  <si>
    <t>SKIPTON VIC AU</t>
  </si>
  <si>
    <t>hayleypappin@yahoo.com.au</t>
  </si>
  <si>
    <t>1.152.106.42</t>
  </si>
  <si>
    <t>07-18990</t>
  </si>
  <si>
    <t>ZIW186</t>
  </si>
  <si>
    <t>110.174.72.94</t>
  </si>
  <si>
    <t>07-19017</t>
  </si>
  <si>
    <t>ZIW088</t>
  </si>
  <si>
    <t>AZIZI \GOLNAR\\\</t>
  </si>
  <si>
    <t>GOLNAR AZIZI</t>
  </si>
  <si>
    <t>AZIZI</t>
  </si>
  <si>
    <t>GOLNAR</t>
  </si>
  <si>
    <t>golgoly60@yahoo.com</t>
  </si>
  <si>
    <t>101.188.89.84</t>
  </si>
  <si>
    <t>07-19134</t>
  </si>
  <si>
    <t>ZIW191</t>
  </si>
  <si>
    <t>KHORRAM \FARNAZ\\\</t>
  </si>
  <si>
    <t>FARNAZ KHORRAM</t>
  </si>
  <si>
    <t>KHORRAM</t>
  </si>
  <si>
    <t>FARNAZ</t>
  </si>
  <si>
    <t>3 ROBHILL RISE</t>
  </si>
  <si>
    <t>fz.khorram@gmail.com</t>
  </si>
  <si>
    <t>87.200.50.33</t>
  </si>
  <si>
    <t>07-19152</t>
  </si>
  <si>
    <t>MIRI \SOOLMAZ\\\</t>
  </si>
  <si>
    <t>SOOLMAZ MIRI</t>
  </si>
  <si>
    <t>MIRI</t>
  </si>
  <si>
    <t>SOOLMAZ</t>
  </si>
  <si>
    <t>65/100 KEILOR ROAD</t>
  </si>
  <si>
    <t>ESSENDON NORTH VIC AU</t>
  </si>
  <si>
    <t>pam.pam_1984@yahoo.com</t>
  </si>
  <si>
    <t>116.240.145.56</t>
  </si>
  <si>
    <t>07-19209</t>
  </si>
  <si>
    <t>ZIW011</t>
  </si>
  <si>
    <t>SOHRABI \SARA\\\</t>
  </si>
  <si>
    <t>SARA SOHRABI</t>
  </si>
  <si>
    <t>SOHRABI</t>
  </si>
  <si>
    <t>1513/100 HARBOUR ESP.</t>
  </si>
  <si>
    <t>sara.sohrabi82@gmail.com</t>
  </si>
  <si>
    <t>1.152.107.59</t>
  </si>
  <si>
    <t>07-19327</t>
  </si>
  <si>
    <t>ZIL588</t>
  </si>
  <si>
    <t>FAHANDEJ \MAZIAR\\\</t>
  </si>
  <si>
    <t>MAZIAR FAHANDEJ</t>
  </si>
  <si>
    <t>FAHANDEJ</t>
  </si>
  <si>
    <t>MAZIAR</t>
  </si>
  <si>
    <t>13/40 ST DAVID STREET</t>
  </si>
  <si>
    <t>FITZROY VIC AU</t>
  </si>
  <si>
    <t>m_f_5@yahoo.com.au</t>
  </si>
  <si>
    <t>210.84.30.169</t>
  </si>
  <si>
    <t>07-19386</t>
  </si>
  <si>
    <t>ZIW127</t>
  </si>
  <si>
    <t>49.3.52.209</t>
  </si>
  <si>
    <t>07-19395</t>
  </si>
  <si>
    <t>ZIW067</t>
  </si>
  <si>
    <t>SHIRZADI \MARYAM\\\</t>
  </si>
  <si>
    <t>MARYAM SHIRZADI</t>
  </si>
  <si>
    <t>SHIRZADI</t>
  </si>
  <si>
    <t>2506/280 SPENCER ST</t>
  </si>
  <si>
    <t>dr.maryamshirzadi@gmail.com</t>
  </si>
  <si>
    <t>61.68.171.76</t>
  </si>
  <si>
    <t>07-19517</t>
  </si>
  <si>
    <t>ZIZ319</t>
  </si>
  <si>
    <t>BASTAMI \HESAM\\\</t>
  </si>
  <si>
    <t>HESAM BASTAMI</t>
  </si>
  <si>
    <t>BASTAMI</t>
  </si>
  <si>
    <t>HESAM</t>
  </si>
  <si>
    <t>52 MERTON ST</t>
  </si>
  <si>
    <t>ALTONA MEADOWS VIC</t>
  </si>
  <si>
    <t>1.152.107.16</t>
  </si>
  <si>
    <t>07-19526</t>
  </si>
  <si>
    <t>ZIO049</t>
  </si>
  <si>
    <t>JUDI \ARASH\\\</t>
  </si>
  <si>
    <t>ARASH JUDI</t>
  </si>
  <si>
    <t>JUDI</t>
  </si>
  <si>
    <t>2/38 HODGSON STREET</t>
  </si>
  <si>
    <t>TUART HILL WA AU</t>
  </si>
  <si>
    <t>arash.judi@yahoo.com.au</t>
  </si>
  <si>
    <t>144.138.46.219</t>
  </si>
  <si>
    <t>07-19597</t>
  </si>
  <si>
    <t>SHAHSHAHANI \SHADFAR\\\</t>
  </si>
  <si>
    <t>SHADFAR SHAHSHAHANI</t>
  </si>
  <si>
    <t>SHAHSHAHANI</t>
  </si>
  <si>
    <t>SHADFAR</t>
  </si>
  <si>
    <t>11 THE PRIORY</t>
  </si>
  <si>
    <t>shadfarsh@outlook.com</t>
  </si>
  <si>
    <t>115.70.149.91</t>
  </si>
  <si>
    <t>07-19640</t>
  </si>
  <si>
    <t>ZIK424</t>
  </si>
  <si>
    <t>HOORBAKHT \ZHINA\\\</t>
  </si>
  <si>
    <t>ZHINA HOORBAKHT</t>
  </si>
  <si>
    <t>HOORBAKHT</t>
  </si>
  <si>
    <t>ZHINA</t>
  </si>
  <si>
    <t>277 CHURCH RD</t>
  </si>
  <si>
    <t>zhina_hoorba@hotmail.com</t>
  </si>
  <si>
    <t>123.3.107.63</t>
  </si>
  <si>
    <t>07-19646</t>
  </si>
  <si>
    <t>ZIL056</t>
  </si>
  <si>
    <t>CORBETT \ALAN\\\</t>
  </si>
  <si>
    <t>ALAN CORBETT</t>
  </si>
  <si>
    <t>CORBETT</t>
  </si>
  <si>
    <t>2G/ 13</t>
  </si>
  <si>
    <t>ABBOTSFORD VIC AU</t>
  </si>
  <si>
    <t>golana_e@hotmail.com</t>
  </si>
  <si>
    <t>59.102.21.63</t>
  </si>
  <si>
    <t>07-19703</t>
  </si>
  <si>
    <t>ZIN403</t>
  </si>
  <si>
    <t>PARSA \HOSSEIN\\\</t>
  </si>
  <si>
    <t>HOSSEIN PARSA</t>
  </si>
  <si>
    <t>PARSA</t>
  </si>
  <si>
    <t>18 GLENDARRAGH RD</t>
  </si>
  <si>
    <t>hossein.parsa@rocketmail.com</t>
  </si>
  <si>
    <t>144.132.45.192</t>
  </si>
  <si>
    <t>07-20424</t>
  </si>
  <si>
    <t>ZIL202</t>
  </si>
  <si>
    <t>MOGHIMIFAR \FARHAD\\\</t>
  </si>
  <si>
    <t>FARHAD MOGHIMIFAR</t>
  </si>
  <si>
    <t>MOGHIMIFAR</t>
  </si>
  <si>
    <t>701/348 WATER STREET</t>
  </si>
  <si>
    <t>FORTITUDE VALLEY QLD AU</t>
  </si>
  <si>
    <t>farhad.mfar@yahoo.com</t>
  </si>
  <si>
    <t>115.70.157.149</t>
  </si>
  <si>
    <t>07-20841</t>
  </si>
  <si>
    <t>ZIW185</t>
  </si>
  <si>
    <t>SADEGHI \PEGAH\\\</t>
  </si>
  <si>
    <t>PEGAH SADEGHI</t>
  </si>
  <si>
    <t>PEGAH</t>
  </si>
  <si>
    <t>2A WISTERIA COURT</t>
  </si>
  <si>
    <t>CRANBOURNE NORTH VIC AU</t>
  </si>
  <si>
    <t>pegah_shf@yahoo.com</t>
  </si>
  <si>
    <t>120.21.42.30</t>
  </si>
  <si>
    <t>07-20977</t>
  </si>
  <si>
    <t>ZIK279</t>
  </si>
  <si>
    <t>SEPEHRIZADEH \TARA\\\</t>
  </si>
  <si>
    <t>TARA SEPEHRIZADEH</t>
  </si>
  <si>
    <t>SEPEHRIZADEH</t>
  </si>
  <si>
    <t>TARA</t>
  </si>
  <si>
    <t>12/87 SEYMOUR RD</t>
  </si>
  <si>
    <t>ELSTERNWICK VIC AU</t>
  </si>
  <si>
    <t>tara.sepehri@gmail.com</t>
  </si>
  <si>
    <t>49.127.40.41</t>
  </si>
  <si>
    <t>07-20998</t>
  </si>
  <si>
    <t>ZIL537</t>
  </si>
  <si>
    <t>BAHREINI \HAMED\\\</t>
  </si>
  <si>
    <t>HAMED BAHREINI</t>
  </si>
  <si>
    <t>BAHREINI</t>
  </si>
  <si>
    <t>HAMED</t>
  </si>
  <si>
    <t>86 LEAMINGTON STREET</t>
  </si>
  <si>
    <t>hamedbahreini@yahoo.com</t>
  </si>
  <si>
    <t>119.17.148.17</t>
  </si>
  <si>
    <t>07-21811</t>
  </si>
  <si>
    <t>ZIW210</t>
  </si>
  <si>
    <t>ISSAC \ARYA\\\</t>
  </si>
  <si>
    <t>ARYA ISSAC</t>
  </si>
  <si>
    <t>ISSAC</t>
  </si>
  <si>
    <t>ARYA</t>
  </si>
  <si>
    <t>31 SUNNYVALE RISE</t>
  </si>
  <si>
    <t>TRUGANINA VIC AU</t>
  </si>
  <si>
    <t>issacarya@gmail.com</t>
  </si>
  <si>
    <t>49.185.183.155</t>
  </si>
  <si>
    <t>07-21852</t>
  </si>
  <si>
    <t>ZIW086</t>
  </si>
  <si>
    <t>SAEB \SARMAD\\\</t>
  </si>
  <si>
    <t>SARMAD SAEB</t>
  </si>
  <si>
    <t>SAEB</t>
  </si>
  <si>
    <t>SARMAD</t>
  </si>
  <si>
    <t>2/21 ESTER</t>
  </si>
  <si>
    <t>sarmad.saeb@gmail.com</t>
  </si>
  <si>
    <t>120.21.12.141</t>
  </si>
  <si>
    <t>07-21949</t>
  </si>
  <si>
    <t>ZIL271</t>
  </si>
  <si>
    <t>AMINZADEH \PARISA\\\</t>
  </si>
  <si>
    <t>PARISA AMINZADEH</t>
  </si>
  <si>
    <t>AMINZADEH</t>
  </si>
  <si>
    <t>18 COLLINS STREET</t>
  </si>
  <si>
    <t>parisaamin@yahoo.com</t>
  </si>
  <si>
    <t>101.160.16.215</t>
  </si>
  <si>
    <t>07-21958</t>
  </si>
  <si>
    <t>ZIH569</t>
  </si>
  <si>
    <t>2/24 NOORDENNE AVENUE</t>
  </si>
  <si>
    <t>07-22065</t>
  </si>
  <si>
    <t>ASGHARZADEH \ALI\\\</t>
  </si>
  <si>
    <t>ALI ASGHARZADEH</t>
  </si>
  <si>
    <t>ASGHARZADEH</t>
  </si>
  <si>
    <t>1303/20HEPBURN ROAD</t>
  </si>
  <si>
    <t>ghaemi.yas@gmail.con</t>
  </si>
  <si>
    <t>175.33.69.166</t>
  </si>
  <si>
    <t>07-22186</t>
  </si>
  <si>
    <t>ZIW110</t>
  </si>
  <si>
    <t>DANISHYAR \SEKANDAR\\\</t>
  </si>
  <si>
    <t>SEKANDAR DANISHYAR</t>
  </si>
  <si>
    <t>DANISHYAR</t>
  </si>
  <si>
    <t>SEKANDAR</t>
  </si>
  <si>
    <t>109 LYNDHURST BLV</t>
  </si>
  <si>
    <t>LYNDHURST VIC AU</t>
  </si>
  <si>
    <t>s.a.attai@hotmail.de</t>
  </si>
  <si>
    <t>49.199.114.68</t>
  </si>
  <si>
    <t>I</t>
  </si>
  <si>
    <t>07-22455</t>
  </si>
  <si>
    <t>ZIO273</t>
  </si>
  <si>
    <t>EGHRARI \DONYA\\\</t>
  </si>
  <si>
    <t>DONYA EGHRARI</t>
  </si>
  <si>
    <t>EGHRARI</t>
  </si>
  <si>
    <t>DONYA</t>
  </si>
  <si>
    <t>129 TERRARA ROAD  VERMONT SOUT</t>
  </si>
  <si>
    <t>donya.eghrari@gmail.com</t>
  </si>
  <si>
    <t>49.199.43.223</t>
  </si>
  <si>
    <t>07-30006</t>
  </si>
  <si>
    <t>ZIW126</t>
  </si>
  <si>
    <t>MORADI \HAMID\\\</t>
  </si>
  <si>
    <t>HAMID MORADI</t>
  </si>
  <si>
    <t>1/2 PENGANA AVENUE</t>
  </si>
  <si>
    <t>GLENROY VIC AU</t>
  </si>
  <si>
    <t>hd_moradi@yahoo.com</t>
  </si>
  <si>
    <t>14.203.95.161</t>
  </si>
  <si>
    <t>07-30124</t>
  </si>
  <si>
    <t>ZIK355</t>
  </si>
  <si>
    <t>REZVANI \BAHAR\\\</t>
  </si>
  <si>
    <t>BAHAR REZVANI</t>
  </si>
  <si>
    <t>REZVANI</t>
  </si>
  <si>
    <t>2104N COLLINS ST</t>
  </si>
  <si>
    <t>baharrezvani@gmail.com</t>
  </si>
  <si>
    <t>110.145.155.210</t>
  </si>
  <si>
    <t>07-30174</t>
  </si>
  <si>
    <t>ZIK377</t>
  </si>
  <si>
    <t>MOLLAHAGAHI \FIROZEH\\\</t>
  </si>
  <si>
    <t>FIROZEH MOLLAHAGAHI</t>
  </si>
  <si>
    <t>MOLLAHAGAHI</t>
  </si>
  <si>
    <t>FIROZEH</t>
  </si>
  <si>
    <t>91 STUDLEY PARK RD</t>
  </si>
  <si>
    <t>60.224.129.145</t>
  </si>
  <si>
    <t>07-31187</t>
  </si>
  <si>
    <t>ZIN344</t>
  </si>
  <si>
    <t>114.72.75.219</t>
  </si>
  <si>
    <t>07-31213</t>
  </si>
  <si>
    <t>ZIW097</t>
  </si>
  <si>
    <t>ESLAMI \SAEED\\\</t>
  </si>
  <si>
    <t>SAEED ESLAMI</t>
  </si>
  <si>
    <t>ESLAMI</t>
  </si>
  <si>
    <t>103/7 ORDNANCE RESERVE</t>
  </si>
  <si>
    <t>saeedeslami87@yahoo.com.au</t>
  </si>
  <si>
    <t>14.201.36.42</t>
  </si>
  <si>
    <t>07-31433</t>
  </si>
  <si>
    <t>ZIW001</t>
  </si>
  <si>
    <t>PANAHI ERDI \SARA\\\</t>
  </si>
  <si>
    <t>SARA PANAHI ERDI</t>
  </si>
  <si>
    <t>PANAHI ERDI</t>
  </si>
  <si>
    <t>80A ROYAL TERRACE CRAIGIEBURN</t>
  </si>
  <si>
    <t>CRAIGIEBURN VIC AU</t>
  </si>
  <si>
    <t>panahisara21@gmail.com</t>
  </si>
  <si>
    <t>1.136.105.111</t>
  </si>
  <si>
    <t>07-31485</t>
  </si>
  <si>
    <t>ZIN303</t>
  </si>
  <si>
    <t>ATSHANI \HASTI\\\</t>
  </si>
  <si>
    <t>HASTI ATSHANI</t>
  </si>
  <si>
    <t>ATSHANI</t>
  </si>
  <si>
    <t>HASTI</t>
  </si>
  <si>
    <t>4/22 MUNRO STREET</t>
  </si>
  <si>
    <t>hastiat1990@gmail.com</t>
  </si>
  <si>
    <t>SM_AU_FB_FBOE</t>
  </si>
  <si>
    <t>58.110.97.236</t>
  </si>
  <si>
    <t>07-31574</t>
  </si>
  <si>
    <t>ZIH651</t>
  </si>
  <si>
    <t>ELIKAEI \PEDRAM\\\</t>
  </si>
  <si>
    <t>PEDRAM ELIKAEI</t>
  </si>
  <si>
    <t>ELIKAEI</t>
  </si>
  <si>
    <t>PEDRAM</t>
  </si>
  <si>
    <t>47 WATERLINE PLACE</t>
  </si>
  <si>
    <t>pedram@mcginternational.com.au</t>
  </si>
  <si>
    <t>07-31613</t>
  </si>
  <si>
    <t>SIMPSON \SARAH\\\</t>
  </si>
  <si>
    <t>SARAH SIMPSON</t>
  </si>
  <si>
    <t>SIMPSON</t>
  </si>
  <si>
    <t>7/53 LIVINGSTONE STREET</t>
  </si>
  <si>
    <t>IVANHOE VIC AU</t>
  </si>
  <si>
    <t>sarahsimpson@hotmail.co.nz</t>
  </si>
  <si>
    <t>120.21.115.139</t>
  </si>
  <si>
    <t>07-31627</t>
  </si>
  <si>
    <t>ZIZ562</t>
  </si>
  <si>
    <t>YELETI \MONAH\\\</t>
  </si>
  <si>
    <t>MONAH YELETI</t>
  </si>
  <si>
    <t>YELETI</t>
  </si>
  <si>
    <t>MONAH</t>
  </si>
  <si>
    <t>2/15 ACLAND STREET</t>
  </si>
  <si>
    <t>VICTORIA VIC</t>
  </si>
  <si>
    <t>monah.john@gmail.com</t>
  </si>
  <si>
    <t>07-31633</t>
  </si>
  <si>
    <t>ZIW206</t>
  </si>
  <si>
    <t>MAFI \ALI\\\</t>
  </si>
  <si>
    <t>ALI MAFI</t>
  </si>
  <si>
    <t>MAFI</t>
  </si>
  <si>
    <t>6 AQUILA ST</t>
  </si>
  <si>
    <t>ali.mafee@gmail.com</t>
  </si>
  <si>
    <t>60.224.131.182</t>
  </si>
  <si>
    <t>07-31641</t>
  </si>
  <si>
    <t>ZIN472</t>
  </si>
  <si>
    <t>MALEKI \HOMAN\\\</t>
  </si>
  <si>
    <t>HOMAN MALEKI</t>
  </si>
  <si>
    <t>MALEKI</t>
  </si>
  <si>
    <t>HOMAN</t>
  </si>
  <si>
    <t>801/367 BURWOOD ROAD  HAWTHORN</t>
  </si>
  <si>
    <t>homan_maleki@yahoo.com</t>
  </si>
  <si>
    <t>202.86.119.35</t>
  </si>
  <si>
    <t>07-31670</t>
  </si>
  <si>
    <t>ZIN002</t>
  </si>
  <si>
    <t>MOJTABAVI \HAMED\\\</t>
  </si>
  <si>
    <t>HAMED MOJTABAVI</t>
  </si>
  <si>
    <t>MOJTABAVI</t>
  </si>
  <si>
    <t>UNIT 1  14 MCNICOL STREET</t>
  </si>
  <si>
    <t>GEELONG WEST VIC AU</t>
  </si>
  <si>
    <t>mojtabavi@hotmail.com</t>
  </si>
  <si>
    <t>220.253.85.142</t>
  </si>
  <si>
    <t>07-31769</t>
  </si>
  <si>
    <t>ZIK545</t>
  </si>
  <si>
    <t>MUTESI \ALINE\\\</t>
  </si>
  <si>
    <t>ALINE MUTESI</t>
  </si>
  <si>
    <t>MUTESI</t>
  </si>
  <si>
    <t>ALINE</t>
  </si>
  <si>
    <t>106/283 SPRING STREET</t>
  </si>
  <si>
    <t>alinemutesi89@gmail.com</t>
  </si>
  <si>
    <t>112.141.191.84</t>
  </si>
  <si>
    <t>07-32013</t>
  </si>
  <si>
    <t>ZIL488</t>
  </si>
  <si>
    <t>RAEI \HOOMAN\\\</t>
  </si>
  <si>
    <t>HOOMAN RAEI</t>
  </si>
  <si>
    <t>RAEI</t>
  </si>
  <si>
    <t>2208/81 SOUTH WHARF DRIVE</t>
  </si>
  <si>
    <t>DICKLANDS VIC AU</t>
  </si>
  <si>
    <t>hudson.h.raei@gmail.com</t>
  </si>
  <si>
    <t>108.171.134.189</t>
  </si>
  <si>
    <t>07-32044</t>
  </si>
  <si>
    <t>ZIZ722</t>
  </si>
  <si>
    <t>CARLTON VIC</t>
  </si>
  <si>
    <t>android.ticketmaster.us</t>
  </si>
  <si>
    <t>59.102.13.9</t>
  </si>
  <si>
    <t>07-32049</t>
  </si>
  <si>
    <t>ZIO296</t>
  </si>
  <si>
    <t>MOHAMMADI \NIYAZ\\\</t>
  </si>
  <si>
    <t>NIYAZ MOHAMMADI</t>
  </si>
  <si>
    <t>NIYAZ</t>
  </si>
  <si>
    <t>26 HOWARD ST</t>
  </si>
  <si>
    <t>niyaz1990@hotmail.com</t>
  </si>
  <si>
    <t>175.34.154.136</t>
  </si>
  <si>
    <t>07-32054</t>
  </si>
  <si>
    <t>ZIK432</t>
  </si>
  <si>
    <t>LEILA MIR NEZHAD ANBARANI \LEI</t>
  </si>
  <si>
    <t>LEI LEILA MIR NEZHAD ANBARANI</t>
  </si>
  <si>
    <t>LEILA MIR NEZHAD ANBARANI</t>
  </si>
  <si>
    <t>LEI</t>
  </si>
  <si>
    <t>2/49  QUEENS AVENUE</t>
  </si>
  <si>
    <t>myedocs2014@gmail.com</t>
  </si>
  <si>
    <t>110.174.69.248</t>
  </si>
  <si>
    <t>07-32082</t>
  </si>
  <si>
    <t>ZIL161</t>
  </si>
  <si>
    <t>LONGWORTH \HARRISON\\\</t>
  </si>
  <si>
    <t>HARRISON LONGWORTH</t>
  </si>
  <si>
    <t>LONGWORTH</t>
  </si>
  <si>
    <t>HARRISON</t>
  </si>
  <si>
    <t>7 BELLBIRD ROAD</t>
  </si>
  <si>
    <t>MOUNT ELIZA VIC AU</t>
  </si>
  <si>
    <t>harrylongworthguitarist@live.com</t>
  </si>
  <si>
    <t>220.244.178.203</t>
  </si>
  <si>
    <t>07-32141</t>
  </si>
  <si>
    <t>FALAKBOLAND \ZHINOUS\\\</t>
  </si>
  <si>
    <t>ZHINOUS FALAKBOLAND</t>
  </si>
  <si>
    <t>FALAKBOLAND</t>
  </si>
  <si>
    <t>ZHINOUS</t>
  </si>
  <si>
    <t>104/8 YARRA BING CRESCENT</t>
  </si>
  <si>
    <t>zhinous@gmail.com</t>
  </si>
  <si>
    <t>103.237.95.132</t>
  </si>
  <si>
    <t>07-32166</t>
  </si>
  <si>
    <t>ZIW099</t>
  </si>
  <si>
    <t>MOSAVARI \FAHIMEH\\\</t>
  </si>
  <si>
    <t>FAHIMEH MOSAVARI</t>
  </si>
  <si>
    <t>MOSAVARI</t>
  </si>
  <si>
    <t>FAHIMEH</t>
  </si>
  <si>
    <t>3BANKSIA WAY</t>
  </si>
  <si>
    <t>FARANEH.MOSAVARI@GMAIL.COM</t>
  </si>
  <si>
    <t>49.199.241.59</t>
  </si>
  <si>
    <t>07-32190</t>
  </si>
  <si>
    <t>ZIK213</t>
  </si>
  <si>
    <t>MONT \TAMINE\\\</t>
  </si>
  <si>
    <t>TAMINE MONT</t>
  </si>
  <si>
    <t>MONT</t>
  </si>
  <si>
    <t>TAMINE</t>
  </si>
  <si>
    <t>4 YAWLA ST</t>
  </si>
  <si>
    <t>tami.mont@yahoo.com</t>
  </si>
  <si>
    <t>203.13.3.94</t>
  </si>
  <si>
    <t>07-32206</t>
  </si>
  <si>
    <t>POURZARE \ROZITA\\\</t>
  </si>
  <si>
    <t>ROZITA POURZARE</t>
  </si>
  <si>
    <t>POURZARE</t>
  </si>
  <si>
    <t>ROZITA</t>
  </si>
  <si>
    <t>5 ARCHIBALD STREET</t>
  </si>
  <si>
    <t>BOXHILL VIC AU</t>
  </si>
  <si>
    <t>pourzarerozita@gmail.com</t>
  </si>
  <si>
    <t>120.21.75.216</t>
  </si>
  <si>
    <t>07-32223</t>
  </si>
  <si>
    <t>GHANAD \MAKAN\\\</t>
  </si>
  <si>
    <t>MAKAN GHANAD</t>
  </si>
  <si>
    <t>GHANAD</t>
  </si>
  <si>
    <t>MAKAN</t>
  </si>
  <si>
    <t>612/20 HEPBURN ROAD</t>
  </si>
  <si>
    <t>makan.ghanad@yahoo.com</t>
  </si>
  <si>
    <t>49.185.226.169</t>
  </si>
  <si>
    <t>07-32237</t>
  </si>
  <si>
    <t>ZIW122</t>
  </si>
  <si>
    <t>ANSARI \DORFAM\\\</t>
  </si>
  <si>
    <t>DORFAM ANSARI</t>
  </si>
  <si>
    <t>DORFAM</t>
  </si>
  <si>
    <t>32 PALMERSTON AVE</t>
  </si>
  <si>
    <t>dorfam.ansari@gmail.com</t>
  </si>
  <si>
    <t>1.152.111.221</t>
  </si>
  <si>
    <t>07-40449</t>
  </si>
  <si>
    <t>ZIL311</t>
  </si>
  <si>
    <t>TEZAY \AYTUNC\\\</t>
  </si>
  <si>
    <t>AYTUNC TEZAY</t>
  </si>
  <si>
    <t>TEZAY</t>
  </si>
  <si>
    <t>AYTUNC</t>
  </si>
  <si>
    <t>424 BEACH ROAD</t>
  </si>
  <si>
    <t>BEAUMARIS VIC AU</t>
  </si>
  <si>
    <t>aytunc.tezay@leaseplus.com.au</t>
  </si>
  <si>
    <t>CFC_AU_CRM_CHOCOLATESTARFISHQUAD</t>
  </si>
  <si>
    <t>144.132.84.222</t>
  </si>
  <si>
    <t>07-40458</t>
  </si>
  <si>
    <t>MAC609</t>
  </si>
  <si>
    <t>ARMYOUN/AMIR</t>
  </si>
  <si>
    <t>AMIR ARMYOUN</t>
  </si>
  <si>
    <t>ARMYOUN</t>
  </si>
  <si>
    <t>REQ PENNY DIZARD</t>
  </si>
  <si>
    <t>07-40465</t>
  </si>
  <si>
    <t>ZIW173</t>
  </si>
  <si>
    <t>AGHAZAMANI \MISS SAYNA\\\</t>
  </si>
  <si>
    <t>MISS SAYNA AGHAZAMANI</t>
  </si>
  <si>
    <t>AGHAZAMANI</t>
  </si>
  <si>
    <t>MISS SAYNA</t>
  </si>
  <si>
    <t>7/66 GEORGE ST</t>
  </si>
  <si>
    <t>rity_sayna@hotmail.com</t>
  </si>
  <si>
    <t>1.136.111.210</t>
  </si>
  <si>
    <t>07-40472</t>
  </si>
  <si>
    <t>WHITE/JOE</t>
  </si>
  <si>
    <t>JOE WHITE</t>
  </si>
  <si>
    <t>JOE</t>
  </si>
  <si>
    <t>REQ PD</t>
  </si>
  <si>
    <t>07-40473</t>
  </si>
  <si>
    <t>MAKONI/SIMBA</t>
  </si>
  <si>
    <t>SIMBA MAKONI</t>
  </si>
  <si>
    <t>MAKONI</t>
  </si>
  <si>
    <t>SIMBA</t>
  </si>
  <si>
    <t>07-40481</t>
  </si>
  <si>
    <t>ZIW054</t>
  </si>
  <si>
    <t>IRANNEJAD \FARHAD\\\</t>
  </si>
  <si>
    <t>FARHAD IRANNEJAD</t>
  </si>
  <si>
    <t>IRANNEJAD</t>
  </si>
  <si>
    <t>11 KINGFISHER DRIVE</t>
  </si>
  <si>
    <t>fred.nejad@yahoo.com</t>
  </si>
  <si>
    <t>120.21.85.189</t>
  </si>
  <si>
    <t>07-40485</t>
  </si>
  <si>
    <t>ZIW160</t>
  </si>
  <si>
    <t>1.136.104.102</t>
  </si>
  <si>
    <t>07-40501</t>
  </si>
  <si>
    <t>ZIO130</t>
  </si>
  <si>
    <t>ROOZBEH \ASHKAN\\\</t>
  </si>
  <si>
    <t>ASHKAN ROOZBEH</t>
  </si>
  <si>
    <t>ROOZBEH</t>
  </si>
  <si>
    <t>ASHKAN</t>
  </si>
  <si>
    <t>108/59 EARL STREET</t>
  </si>
  <si>
    <t>saeideho@yahoo.co.uk</t>
  </si>
  <si>
    <t>27.32.29.125</t>
  </si>
  <si>
    <t>07-40509</t>
  </si>
  <si>
    <t>WATSON/ASHLEY</t>
  </si>
  <si>
    <t>ASHLEY WATSON</t>
  </si>
  <si>
    <t>WATSON</t>
  </si>
  <si>
    <t>ASHLEY</t>
  </si>
  <si>
    <t>07-40511</t>
  </si>
  <si>
    <t>ZIH591</t>
  </si>
  <si>
    <t>HARIRI \MEHRDAD\\\</t>
  </si>
  <si>
    <t>MEHRDAD HARIRI</t>
  </si>
  <si>
    <t>HARIRI</t>
  </si>
  <si>
    <t>MEHRDAD</t>
  </si>
  <si>
    <t>905/58 CLARKE STREET</t>
  </si>
  <si>
    <t>mehrdad84bs@gmail.com</t>
  </si>
  <si>
    <t>07-40524</t>
  </si>
  <si>
    <t>ZIL493</t>
  </si>
  <si>
    <t>NAKHAEI \MANI\\\</t>
  </si>
  <si>
    <t>MANI NAKHAEI</t>
  </si>
  <si>
    <t>NAKHAEI</t>
  </si>
  <si>
    <t>MANI</t>
  </si>
  <si>
    <t>606/377 BURWOOD ROAD</t>
  </si>
  <si>
    <t>stridermani@yahoo.com</t>
  </si>
  <si>
    <t>203.214.7.119</t>
  </si>
  <si>
    <t>07-40530</t>
  </si>
  <si>
    <t>GHANE/PARISA</t>
  </si>
  <si>
    <t>PARISA GHANE</t>
  </si>
  <si>
    <t>GHANE</t>
  </si>
  <si>
    <t>REQ ALI</t>
  </si>
  <si>
    <t>07-40531</t>
  </si>
  <si>
    <t>EMANI/FARHAD</t>
  </si>
  <si>
    <t>FARHAD EMANI</t>
  </si>
  <si>
    <t>EMANI</t>
  </si>
  <si>
    <t>07-40534</t>
  </si>
  <si>
    <t>VANI/PARHAM</t>
  </si>
  <si>
    <t>PARHAM VANI</t>
  </si>
  <si>
    <t>VANI</t>
  </si>
  <si>
    <t>PARHAM</t>
  </si>
  <si>
    <t>07-40620</t>
  </si>
  <si>
    <t>KAY/ANISE</t>
  </si>
  <si>
    <t>ANISE KAY</t>
  </si>
  <si>
    <t>KAY</t>
  </si>
  <si>
    <t>ANISE</t>
  </si>
  <si>
    <t>PER ALI</t>
  </si>
  <si>
    <t>07-40677</t>
  </si>
  <si>
    <t>SAMAMI/REZA</t>
  </si>
  <si>
    <t>REZA SAMAMI</t>
  </si>
  <si>
    <t>SAMAMI</t>
  </si>
  <si>
    <t>07-40693</t>
  </si>
  <si>
    <t>MAC627</t>
  </si>
  <si>
    <t>SAMAMI/BARAN</t>
  </si>
  <si>
    <t>BARAN SAMAMI</t>
  </si>
  <si>
    <t>BARAN</t>
  </si>
  <si>
    <t>07-40695</t>
  </si>
  <si>
    <t>JALALI/TARA</t>
  </si>
  <si>
    <t>TARA JALALI</t>
  </si>
  <si>
    <t>JALALI</t>
  </si>
  <si>
    <t>07-40737</t>
  </si>
  <si>
    <t>SAHEL</t>
  </si>
  <si>
    <t>07-40743</t>
  </si>
  <si>
    <t>BASSERI/LILY</t>
  </si>
  <si>
    <t>LILY BASSERI</t>
  </si>
  <si>
    <t>BASSERI</t>
  </si>
  <si>
    <t>LILY</t>
  </si>
  <si>
    <t>07-40826</t>
  </si>
  <si>
    <t>TIRAMI/PARISA</t>
  </si>
  <si>
    <t>PARISA TIRAMI</t>
  </si>
  <si>
    <t>TIRAMI</t>
  </si>
  <si>
    <t>07-40829</t>
  </si>
  <si>
    <t>MEMATI/BENJAMIN</t>
  </si>
  <si>
    <t>BENJAMIN MEMATI</t>
  </si>
  <si>
    <t>MEMATI</t>
  </si>
  <si>
    <t>BENJAMIN</t>
  </si>
  <si>
    <t>07-40834</t>
  </si>
  <si>
    <t>DOOR</t>
  </si>
  <si>
    <t>07-40839</t>
  </si>
  <si>
    <t>FALAHI/ANIR</t>
  </si>
  <si>
    <t>ANIR FALAHI</t>
  </si>
  <si>
    <t>FALAHI</t>
  </si>
  <si>
    <t>ANIR</t>
  </si>
  <si>
    <t>07-40840</t>
  </si>
  <si>
    <t>SHAKIBA</t>
  </si>
  <si>
    <t>07-40850</t>
  </si>
  <si>
    <t>SAMIMI/SADAF</t>
  </si>
  <si>
    <t>SADAF SAMIMI</t>
  </si>
  <si>
    <t>SAMIMI</t>
  </si>
  <si>
    <t>SADAF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</si>
</sst>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0" numFmtId="1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67"/>
    <col customWidth="1" min="2" max="2" width="5.0"/>
    <col customWidth="1" min="3" max="3" width="19.67"/>
    <col customWidth="1" min="4" max="4" width="19.33"/>
    <col customWidth="1" min="5" max="5" width="35.11"/>
    <col customWidth="1" min="6" max="6" width="31.44"/>
    <col customWidth="1" min="7" max="7" width="27.67"/>
    <col customWidth="1" min="8" max="8" width="26.0"/>
    <col customWidth="1" min="9" max="9" width="5.0"/>
    <col customWidth="1" min="10" max="10" width="26.67"/>
    <col customWidth="1" min="11" max="11" width="19.44"/>
    <col customWidth="1" min="12" max="12" width="35.78"/>
    <col customWidth="1" min="13" max="13" width="27.67"/>
    <col customWidth="1" min="14" max="14" width="9.78"/>
    <col customWidth="1" min="15" max="15" width="8.0"/>
    <col customWidth="1" min="16" max="16" width="11.0"/>
    <col customWidth="1" min="17" max="17" width="13.33"/>
    <col customWidth="1" min="18" max="18" width="10.0"/>
    <col customWidth="1" min="19" max="19" width="13.33"/>
    <col customWidth="1" min="20" max="20" width="12.0"/>
    <col customWidth="1" min="21" max="21" width="14.11"/>
    <col customWidth="1" min="22" max="22" width="34.44"/>
    <col customWidth="1" min="23" max="23" width="11.44"/>
    <col customWidth="1" min="24" max="24" width="39.0"/>
    <col customWidth="1" min="25" max="25" width="24.78"/>
    <col customWidth="1" min="26" max="26" width="14.78"/>
    <col customWidth="1" min="27" max="27" width="10.44"/>
    <col customWidth="1" min="28" max="28" width="8.44"/>
    <col customWidth="1" min="29" max="29" width="8.0"/>
    <col customWidth="1" min="30" max="30" width="6.44"/>
    <col customWidth="1" min="31" max="31" width="7.44"/>
    <col customWidth="1" min="32" max="32" width="10.44"/>
    <col customWidth="1" min="33" max="33" width="11.11"/>
    <col customWidth="1" min="34" max="34" width="9.44"/>
    <col customWidth="1" min="35" max="35" width="4.78"/>
    <col customWidth="1" min="36" max="36" width="9.44"/>
    <col customWidth="1" min="37" max="37" width="8.44"/>
    <col customWidth="1" min="38" max="38" width="11.78"/>
    <col customWidth="1" min="39" max="39" width="10.11"/>
    <col customWidth="1" min="40" max="40" width="11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ht="15.75" customHeight="1">
      <c r="A2" s="1" t="s">
        <v>40</v>
      </c>
      <c r="B2" s="1" t="s">
        <v>41</v>
      </c>
      <c r="C2" s="1" t="s">
        <v>42</v>
      </c>
      <c r="D2" s="2">
        <v>43265.0</v>
      </c>
      <c r="E2" s="1" t="s">
        <v>43</v>
      </c>
      <c r="F2" s="1" t="s">
        <v>44</v>
      </c>
      <c r="G2" s="1" t="s">
        <v>45</v>
      </c>
      <c r="H2" s="1" t="s">
        <v>46</v>
      </c>
      <c r="L2" s="1" t="s">
        <v>47</v>
      </c>
      <c r="M2" s="1" t="s">
        <v>48</v>
      </c>
      <c r="N2" s="1">
        <v>3073.0</v>
      </c>
      <c r="O2" s="1" t="s">
        <v>49</v>
      </c>
      <c r="P2" s="1">
        <v>4.69688399E8</v>
      </c>
      <c r="Q2" s="1" t="str">
        <f t="shared" ref="Q2:Q4" si="1">"469688399"</f>
        <v>469688399</v>
      </c>
      <c r="S2" s="1" t="str">
        <f t="shared" ref="S2:S12" si="2">""</f>
        <v/>
      </c>
      <c r="T2" s="1">
        <v>4.69688399E8</v>
      </c>
      <c r="U2" s="1" t="str">
        <f t="shared" ref="U2:U4" si="3">"0469688399"</f>
        <v>0469688399</v>
      </c>
      <c r="V2" s="1" t="s">
        <v>50</v>
      </c>
      <c r="W2" s="1" t="s">
        <v>51</v>
      </c>
      <c r="Y2" s="1" t="s">
        <v>52</v>
      </c>
      <c r="Z2" s="1" t="s">
        <v>53</v>
      </c>
      <c r="AB2" s="1" t="s">
        <v>54</v>
      </c>
      <c r="AC2" s="1" t="s">
        <v>55</v>
      </c>
      <c r="AD2" s="1">
        <v>1.0</v>
      </c>
      <c r="AE2" s="1" t="s">
        <v>56</v>
      </c>
      <c r="AF2" s="1">
        <v>1.0</v>
      </c>
      <c r="AG2" s="1" t="s">
        <v>42</v>
      </c>
      <c r="AH2" s="2">
        <v>43265.0</v>
      </c>
      <c r="AI2" s="1" t="s">
        <v>57</v>
      </c>
      <c r="AJ2" s="1">
        <v>20.0</v>
      </c>
      <c r="AK2" s="1">
        <v>22.0</v>
      </c>
      <c r="AL2" s="1">
        <v>3.0</v>
      </c>
      <c r="AM2" s="1" t="s">
        <v>58</v>
      </c>
    </row>
    <row r="3" ht="15.75" customHeight="1">
      <c r="A3" s="1" t="s">
        <v>59</v>
      </c>
      <c r="B3" s="1" t="s">
        <v>41</v>
      </c>
      <c r="C3" s="1" t="s">
        <v>60</v>
      </c>
      <c r="D3" s="2">
        <v>43265.0</v>
      </c>
      <c r="E3" s="1" t="s">
        <v>43</v>
      </c>
      <c r="F3" s="1" t="s">
        <v>44</v>
      </c>
      <c r="G3" s="1" t="s">
        <v>45</v>
      </c>
      <c r="H3" s="1" t="s">
        <v>46</v>
      </c>
      <c r="L3" s="1" t="s">
        <v>47</v>
      </c>
      <c r="M3" s="1" t="s">
        <v>48</v>
      </c>
      <c r="N3" s="1">
        <v>3073.0</v>
      </c>
      <c r="O3" s="1" t="s">
        <v>49</v>
      </c>
      <c r="P3" s="1">
        <v>4.69688399E8</v>
      </c>
      <c r="Q3" s="1" t="str">
        <f t="shared" si="1"/>
        <v>469688399</v>
      </c>
      <c r="S3" s="1" t="str">
        <f t="shared" si="2"/>
        <v/>
      </c>
      <c r="T3" s="1">
        <v>4.69688399E8</v>
      </c>
      <c r="U3" s="1" t="str">
        <f t="shared" si="3"/>
        <v>0469688399</v>
      </c>
      <c r="V3" s="1" t="s">
        <v>50</v>
      </c>
      <c r="W3" s="1" t="s">
        <v>51</v>
      </c>
      <c r="Y3" s="1" t="s">
        <v>52</v>
      </c>
      <c r="Z3" s="1" t="s">
        <v>53</v>
      </c>
      <c r="AB3" s="1" t="s">
        <v>54</v>
      </c>
      <c r="AC3" s="1" t="s">
        <v>55</v>
      </c>
      <c r="AD3" s="1">
        <v>1.0</v>
      </c>
      <c r="AE3" s="1" t="s">
        <v>56</v>
      </c>
      <c r="AF3" s="1">
        <v>1.0</v>
      </c>
      <c r="AG3" s="1" t="s">
        <v>60</v>
      </c>
      <c r="AH3" s="2">
        <v>43265.0</v>
      </c>
      <c r="AI3" s="1" t="s">
        <v>57</v>
      </c>
      <c r="AJ3" s="1">
        <v>19.0</v>
      </c>
      <c r="AK3" s="1">
        <v>19.0</v>
      </c>
      <c r="AL3" s="1">
        <v>1.0</v>
      </c>
      <c r="AM3" s="1" t="s">
        <v>58</v>
      </c>
    </row>
    <row r="4" ht="15.75" customHeight="1">
      <c r="A4" s="1" t="s">
        <v>59</v>
      </c>
      <c r="B4" s="1" t="s">
        <v>41</v>
      </c>
      <c r="C4" s="1" t="s">
        <v>60</v>
      </c>
      <c r="D4" s="2">
        <v>43265.0</v>
      </c>
      <c r="E4" s="1" t="s">
        <v>43</v>
      </c>
      <c r="F4" s="1" t="s">
        <v>44</v>
      </c>
      <c r="G4" s="1" t="s">
        <v>45</v>
      </c>
      <c r="H4" s="1" t="s">
        <v>46</v>
      </c>
      <c r="L4" s="1" t="s">
        <v>47</v>
      </c>
      <c r="M4" s="1" t="s">
        <v>48</v>
      </c>
      <c r="N4" s="1">
        <v>3073.0</v>
      </c>
      <c r="O4" s="1" t="s">
        <v>49</v>
      </c>
      <c r="P4" s="1">
        <v>4.69688399E8</v>
      </c>
      <c r="Q4" s="1" t="str">
        <f t="shared" si="1"/>
        <v>469688399</v>
      </c>
      <c r="S4" s="1" t="str">
        <f t="shared" si="2"/>
        <v/>
      </c>
      <c r="T4" s="1">
        <v>4.69688399E8</v>
      </c>
      <c r="U4" s="1" t="str">
        <f t="shared" si="3"/>
        <v>0469688399</v>
      </c>
      <c r="V4" s="1" t="s">
        <v>50</v>
      </c>
      <c r="W4" s="1" t="s">
        <v>51</v>
      </c>
      <c r="Y4" s="1" t="s">
        <v>52</v>
      </c>
      <c r="Z4" s="1" t="s">
        <v>53</v>
      </c>
      <c r="AB4" s="1" t="s">
        <v>54</v>
      </c>
      <c r="AC4" s="1" t="s">
        <v>55</v>
      </c>
      <c r="AD4" s="1">
        <v>1.0</v>
      </c>
      <c r="AE4" s="1" t="s">
        <v>56</v>
      </c>
      <c r="AF4" s="1">
        <v>1.0</v>
      </c>
      <c r="AG4" s="1" t="s">
        <v>60</v>
      </c>
      <c r="AH4" s="2">
        <v>43265.0</v>
      </c>
      <c r="AI4" s="1" t="s">
        <v>57</v>
      </c>
      <c r="AJ4" s="1">
        <v>23.0</v>
      </c>
      <c r="AK4" s="1">
        <v>23.0</v>
      </c>
      <c r="AL4" s="1">
        <v>1.0</v>
      </c>
      <c r="AM4" s="1" t="s">
        <v>58</v>
      </c>
    </row>
    <row r="5" ht="15.75" customHeight="1">
      <c r="A5" s="1" t="s">
        <v>61</v>
      </c>
      <c r="B5" s="1" t="s">
        <v>41</v>
      </c>
      <c r="C5" s="1" t="s">
        <v>62</v>
      </c>
      <c r="D5" s="2">
        <v>43265.0</v>
      </c>
      <c r="E5" s="1" t="s">
        <v>63</v>
      </c>
      <c r="F5" s="1" t="s">
        <v>64</v>
      </c>
      <c r="G5" s="1" t="s">
        <v>65</v>
      </c>
      <c r="H5" s="1" t="s">
        <v>66</v>
      </c>
      <c r="L5" s="1" t="s">
        <v>67</v>
      </c>
      <c r="M5" s="1" t="s">
        <v>68</v>
      </c>
      <c r="N5" s="1">
        <v>3131.0</v>
      </c>
      <c r="O5" s="1" t="s">
        <v>49</v>
      </c>
      <c r="P5" s="1">
        <v>4.11631695E8</v>
      </c>
      <c r="Q5" s="1" t="str">
        <f>"411631695"</f>
        <v>411631695</v>
      </c>
      <c r="S5" s="1" t="str">
        <f t="shared" si="2"/>
        <v/>
      </c>
      <c r="T5" s="1">
        <v>4.11631695E8</v>
      </c>
      <c r="U5" s="1" t="str">
        <f>"0411631695"</f>
        <v>0411631695</v>
      </c>
      <c r="V5" s="1" t="s">
        <v>69</v>
      </c>
      <c r="W5" s="1" t="s">
        <v>70</v>
      </c>
      <c r="Y5" s="1" t="s">
        <v>52</v>
      </c>
      <c r="Z5" s="1" t="s">
        <v>71</v>
      </c>
      <c r="AB5" s="1" t="s">
        <v>54</v>
      </c>
      <c r="AC5" s="1" t="s">
        <v>55</v>
      </c>
      <c r="AD5" s="1">
        <v>1.0</v>
      </c>
      <c r="AE5" s="1" t="s">
        <v>56</v>
      </c>
      <c r="AF5" s="1">
        <v>1.0</v>
      </c>
      <c r="AG5" s="1" t="s">
        <v>62</v>
      </c>
      <c r="AH5" s="2">
        <v>43265.0</v>
      </c>
      <c r="AI5" s="1" t="s">
        <v>72</v>
      </c>
      <c r="AJ5" s="1">
        <v>20.0</v>
      </c>
      <c r="AK5" s="1">
        <v>22.0</v>
      </c>
      <c r="AL5" s="1">
        <v>3.0</v>
      </c>
      <c r="AM5" s="1" t="s">
        <v>58</v>
      </c>
    </row>
    <row r="6" ht="15.75" customHeight="1">
      <c r="A6" s="1" t="s">
        <v>73</v>
      </c>
      <c r="B6" s="1" t="s">
        <v>41</v>
      </c>
      <c r="C6" s="1" t="s">
        <v>74</v>
      </c>
      <c r="D6" s="2">
        <v>43265.0</v>
      </c>
      <c r="E6" s="1" t="s">
        <v>75</v>
      </c>
      <c r="F6" s="1" t="s">
        <v>76</v>
      </c>
      <c r="G6" s="1" t="s">
        <v>77</v>
      </c>
      <c r="H6" s="1" t="s">
        <v>78</v>
      </c>
      <c r="L6" s="1" t="s">
        <v>79</v>
      </c>
      <c r="M6" s="1" t="s">
        <v>80</v>
      </c>
      <c r="N6" s="1">
        <v>3143.0</v>
      </c>
      <c r="O6" s="1" t="s">
        <v>49</v>
      </c>
      <c r="P6" s="1">
        <v>3.95685814E8</v>
      </c>
      <c r="Q6" s="1" t="str">
        <f>"395685814"</f>
        <v>395685814</v>
      </c>
      <c r="S6" s="1" t="str">
        <f t="shared" si="2"/>
        <v/>
      </c>
      <c r="U6" s="1" t="str">
        <f>""</f>
        <v/>
      </c>
      <c r="V6" s="1" t="s">
        <v>81</v>
      </c>
      <c r="W6" s="1" t="s">
        <v>70</v>
      </c>
      <c r="Y6" s="1" t="s">
        <v>52</v>
      </c>
      <c r="Z6" s="1" t="s">
        <v>82</v>
      </c>
      <c r="AB6" s="1" t="s">
        <v>54</v>
      </c>
      <c r="AC6" s="1" t="s">
        <v>83</v>
      </c>
      <c r="AD6" s="1">
        <v>1.0</v>
      </c>
      <c r="AE6" s="1" t="s">
        <v>56</v>
      </c>
      <c r="AF6" s="1">
        <v>1.0</v>
      </c>
      <c r="AG6" s="1" t="s">
        <v>84</v>
      </c>
      <c r="AH6" s="2">
        <v>43265.0</v>
      </c>
      <c r="AI6" s="1" t="s">
        <v>85</v>
      </c>
      <c r="AJ6" s="1">
        <v>18.0</v>
      </c>
      <c r="AK6" s="1">
        <v>24.0</v>
      </c>
      <c r="AL6" s="1">
        <v>7.0</v>
      </c>
      <c r="AM6" s="1" t="s">
        <v>58</v>
      </c>
    </row>
    <row r="7" ht="15.75" customHeight="1">
      <c r="A7" s="1" t="s">
        <v>86</v>
      </c>
      <c r="B7" s="1" t="s">
        <v>41</v>
      </c>
      <c r="C7" s="1" t="s">
        <v>87</v>
      </c>
      <c r="D7" s="2">
        <v>43265.0</v>
      </c>
      <c r="E7" s="1" t="s">
        <v>88</v>
      </c>
      <c r="F7" s="1" t="s">
        <v>89</v>
      </c>
      <c r="G7" s="1" t="s">
        <v>90</v>
      </c>
      <c r="H7" s="1" t="s">
        <v>91</v>
      </c>
      <c r="L7" s="1" t="s">
        <v>92</v>
      </c>
      <c r="M7" s="1" t="s">
        <v>93</v>
      </c>
      <c r="N7" s="1">
        <v>3042.0</v>
      </c>
      <c r="O7" s="1" t="s">
        <v>49</v>
      </c>
      <c r="P7" s="1">
        <v>3.93335825E8</v>
      </c>
      <c r="Q7" s="1" t="str">
        <f>"393335825"</f>
        <v>393335825</v>
      </c>
      <c r="S7" s="1" t="str">
        <f t="shared" si="2"/>
        <v/>
      </c>
      <c r="T7" s="1">
        <v>4.14739043E8</v>
      </c>
      <c r="U7" s="1" t="str">
        <f>"0414739043"</f>
        <v>0414739043</v>
      </c>
      <c r="V7" s="1" t="s">
        <v>94</v>
      </c>
      <c r="W7" s="1" t="s">
        <v>51</v>
      </c>
      <c r="Y7" s="1" t="s">
        <v>52</v>
      </c>
      <c r="Z7" s="1" t="s">
        <v>95</v>
      </c>
      <c r="AB7" s="1" t="s">
        <v>54</v>
      </c>
      <c r="AC7" s="1" t="s">
        <v>55</v>
      </c>
      <c r="AD7" s="1">
        <v>3.0</v>
      </c>
      <c r="AE7" s="1" t="s">
        <v>56</v>
      </c>
      <c r="AF7" s="1">
        <v>3.0</v>
      </c>
      <c r="AG7" s="1" t="s">
        <v>87</v>
      </c>
      <c r="AH7" s="2">
        <v>43265.0</v>
      </c>
      <c r="AI7" s="1" t="s">
        <v>96</v>
      </c>
      <c r="AJ7" s="1">
        <v>19.0</v>
      </c>
      <c r="AK7" s="1">
        <v>23.0</v>
      </c>
      <c r="AL7" s="1">
        <v>5.0</v>
      </c>
      <c r="AM7" s="1" t="s">
        <v>58</v>
      </c>
    </row>
    <row r="8" ht="15.75" customHeight="1">
      <c r="A8" s="1" t="s">
        <v>97</v>
      </c>
      <c r="B8" s="1" t="s">
        <v>41</v>
      </c>
      <c r="C8" s="1" t="s">
        <v>98</v>
      </c>
      <c r="D8" s="2">
        <v>43265.0</v>
      </c>
      <c r="E8" s="1" t="s">
        <v>99</v>
      </c>
      <c r="F8" s="1" t="s">
        <v>100</v>
      </c>
      <c r="G8" s="1" t="s">
        <v>101</v>
      </c>
      <c r="H8" s="1" t="s">
        <v>102</v>
      </c>
      <c r="L8" s="1" t="s">
        <v>103</v>
      </c>
      <c r="M8" s="1" t="s">
        <v>68</v>
      </c>
      <c r="N8" s="1">
        <v>3131.0</v>
      </c>
      <c r="O8" s="1" t="s">
        <v>49</v>
      </c>
      <c r="P8" s="1">
        <v>3.98779697E8</v>
      </c>
      <c r="Q8" s="1" t="str">
        <f>"398779697"</f>
        <v>398779697</v>
      </c>
      <c r="S8" s="1" t="str">
        <f t="shared" si="2"/>
        <v/>
      </c>
      <c r="T8" s="1">
        <v>4.03537244E8</v>
      </c>
      <c r="U8" s="1" t="str">
        <f>"0403537244"</f>
        <v>0403537244</v>
      </c>
      <c r="V8" s="1" t="s">
        <v>104</v>
      </c>
      <c r="W8" s="1" t="s">
        <v>51</v>
      </c>
      <c r="Y8" s="1" t="s">
        <v>52</v>
      </c>
      <c r="Z8" s="1" t="s">
        <v>105</v>
      </c>
      <c r="AB8" s="1" t="s">
        <v>54</v>
      </c>
      <c r="AC8" s="1" t="s">
        <v>55</v>
      </c>
      <c r="AD8" s="1">
        <v>1.0</v>
      </c>
      <c r="AE8" s="1" t="s">
        <v>56</v>
      </c>
      <c r="AF8" s="1">
        <v>1.0</v>
      </c>
      <c r="AG8" s="1" t="s">
        <v>98</v>
      </c>
      <c r="AH8" s="2">
        <v>43265.0</v>
      </c>
      <c r="AI8" s="1" t="s">
        <v>72</v>
      </c>
      <c r="AJ8" s="1">
        <v>16.0</v>
      </c>
      <c r="AK8" s="1">
        <v>19.0</v>
      </c>
      <c r="AL8" s="1">
        <v>4.0</v>
      </c>
      <c r="AM8" s="1" t="s">
        <v>58</v>
      </c>
    </row>
    <row r="9" ht="15.75" customHeight="1">
      <c r="A9" s="1" t="s">
        <v>106</v>
      </c>
      <c r="B9" s="1" t="s">
        <v>41</v>
      </c>
      <c r="C9" s="1" t="s">
        <v>107</v>
      </c>
      <c r="D9" s="2">
        <v>43265.0</v>
      </c>
      <c r="E9" s="1" t="s">
        <v>108</v>
      </c>
      <c r="F9" s="1" t="s">
        <v>109</v>
      </c>
      <c r="G9" s="1" t="s">
        <v>110</v>
      </c>
      <c r="H9" s="1" t="s">
        <v>111</v>
      </c>
      <c r="L9" s="1" t="s">
        <v>112</v>
      </c>
      <c r="M9" s="1" t="s">
        <v>113</v>
      </c>
      <c r="N9" s="1">
        <v>3124.0</v>
      </c>
      <c r="O9" s="1" t="s">
        <v>49</v>
      </c>
      <c r="P9" s="1">
        <v>3.98300242E8</v>
      </c>
      <c r="Q9" s="1" t="str">
        <f>"398300242"</f>
        <v>398300242</v>
      </c>
      <c r="S9" s="1" t="str">
        <f t="shared" si="2"/>
        <v/>
      </c>
      <c r="T9" s="1">
        <v>4.11869439E8</v>
      </c>
      <c r="U9" s="1" t="str">
        <f>"0411869439"</f>
        <v>0411869439</v>
      </c>
      <c r="V9" s="1" t="s">
        <v>114</v>
      </c>
      <c r="W9" s="1" t="s">
        <v>51</v>
      </c>
      <c r="Y9" s="1" t="s">
        <v>115</v>
      </c>
      <c r="Z9" s="1" t="s">
        <v>116</v>
      </c>
      <c r="AB9" s="1" t="s">
        <v>54</v>
      </c>
      <c r="AC9" s="1" t="s">
        <v>55</v>
      </c>
      <c r="AD9" s="1">
        <v>2.0</v>
      </c>
      <c r="AE9" s="1" t="s">
        <v>56</v>
      </c>
      <c r="AF9" s="1">
        <v>2.0</v>
      </c>
      <c r="AG9" s="1" t="s">
        <v>107</v>
      </c>
      <c r="AH9" s="2">
        <v>43265.0</v>
      </c>
      <c r="AI9" s="1" t="s">
        <v>117</v>
      </c>
      <c r="AJ9" s="1">
        <v>16.0</v>
      </c>
      <c r="AK9" s="1">
        <v>19.0</v>
      </c>
      <c r="AL9" s="1">
        <v>4.0</v>
      </c>
      <c r="AM9" s="1" t="s">
        <v>58</v>
      </c>
    </row>
    <row r="10" ht="15.75" customHeight="1">
      <c r="A10" s="1" t="s">
        <v>118</v>
      </c>
      <c r="B10" s="1" t="s">
        <v>41</v>
      </c>
      <c r="C10" s="1" t="s">
        <v>119</v>
      </c>
      <c r="D10" s="2">
        <v>43265.0</v>
      </c>
      <c r="E10" s="1" t="s">
        <v>120</v>
      </c>
      <c r="F10" s="1" t="s">
        <v>121</v>
      </c>
      <c r="G10" s="1" t="s">
        <v>122</v>
      </c>
      <c r="H10" s="1" t="s">
        <v>123</v>
      </c>
      <c r="L10" s="1" t="s">
        <v>124</v>
      </c>
      <c r="M10" s="1" t="s">
        <v>125</v>
      </c>
      <c r="N10" s="1">
        <v>3043.0</v>
      </c>
      <c r="O10" s="1" t="s">
        <v>49</v>
      </c>
      <c r="P10" s="1">
        <v>4.11584041E8</v>
      </c>
      <c r="Q10" s="1" t="str">
        <f>"411584041"</f>
        <v>411584041</v>
      </c>
      <c r="S10" s="1" t="str">
        <f t="shared" si="2"/>
        <v/>
      </c>
      <c r="U10" s="1" t="str">
        <f>""</f>
        <v/>
      </c>
      <c r="V10" s="1" t="s">
        <v>126</v>
      </c>
      <c r="W10" s="1" t="s">
        <v>51</v>
      </c>
      <c r="Y10" s="1" t="s">
        <v>115</v>
      </c>
      <c r="Z10" s="1" t="s">
        <v>127</v>
      </c>
      <c r="AB10" s="1" t="s">
        <v>54</v>
      </c>
      <c r="AC10" s="1" t="s">
        <v>55</v>
      </c>
      <c r="AD10" s="1">
        <v>1.0</v>
      </c>
      <c r="AE10" s="1" t="s">
        <v>56</v>
      </c>
      <c r="AF10" s="1">
        <v>1.0</v>
      </c>
      <c r="AG10" s="1" t="s">
        <v>119</v>
      </c>
      <c r="AH10" s="2">
        <v>43265.0</v>
      </c>
      <c r="AI10" s="1" t="s">
        <v>85</v>
      </c>
      <c r="AJ10" s="1">
        <v>25.0</v>
      </c>
      <c r="AK10" s="1">
        <v>26.0</v>
      </c>
      <c r="AL10" s="1">
        <v>2.0</v>
      </c>
      <c r="AM10" s="1" t="s">
        <v>58</v>
      </c>
    </row>
    <row r="11" ht="15.75" customHeight="1">
      <c r="A11" s="1" t="s">
        <v>128</v>
      </c>
      <c r="B11" s="1" t="s">
        <v>41</v>
      </c>
      <c r="C11" s="1" t="s">
        <v>129</v>
      </c>
      <c r="D11" s="2">
        <v>43265.0</v>
      </c>
      <c r="E11" s="1" t="s">
        <v>130</v>
      </c>
      <c r="F11" s="1" t="s">
        <v>131</v>
      </c>
      <c r="G11" s="1" t="s">
        <v>132</v>
      </c>
      <c r="H11" s="1" t="s">
        <v>133</v>
      </c>
      <c r="L11" s="1" t="s">
        <v>134</v>
      </c>
      <c r="M11" s="1" t="s">
        <v>135</v>
      </c>
      <c r="N11" s="1">
        <v>3079.0</v>
      </c>
      <c r="O11" s="1" t="s">
        <v>49</v>
      </c>
      <c r="P11" s="1">
        <v>3.94996016E8</v>
      </c>
      <c r="Q11" s="1" t="str">
        <f t="shared" ref="Q11:Q12" si="4">"394996016"</f>
        <v>394996016</v>
      </c>
      <c r="S11" s="1" t="str">
        <f t="shared" si="2"/>
        <v/>
      </c>
      <c r="T11" s="1">
        <v>4.19587049E8</v>
      </c>
      <c r="U11" s="1" t="str">
        <f t="shared" ref="U11:U12" si="5">"0419587049"</f>
        <v>0419587049</v>
      </c>
      <c r="V11" s="1" t="s">
        <v>136</v>
      </c>
      <c r="W11" s="1" t="s">
        <v>51</v>
      </c>
      <c r="Y11" s="1" t="s">
        <v>115</v>
      </c>
      <c r="Z11" s="1" t="s">
        <v>137</v>
      </c>
      <c r="AB11" s="1" t="s">
        <v>54</v>
      </c>
      <c r="AC11" s="1" t="s">
        <v>55</v>
      </c>
      <c r="AD11" s="1">
        <v>2.0</v>
      </c>
      <c r="AE11" s="1" t="s">
        <v>56</v>
      </c>
      <c r="AF11" s="1">
        <v>2.0</v>
      </c>
      <c r="AG11" s="1" t="s">
        <v>129</v>
      </c>
      <c r="AH11" s="2">
        <v>43265.0</v>
      </c>
      <c r="AI11" s="1" t="s">
        <v>138</v>
      </c>
      <c r="AJ11" s="1">
        <v>14.0</v>
      </c>
      <c r="AK11" s="1">
        <v>19.0</v>
      </c>
      <c r="AL11" s="1">
        <v>6.0</v>
      </c>
      <c r="AM11" s="1" t="s">
        <v>58</v>
      </c>
    </row>
    <row r="12" ht="15.75" customHeight="1">
      <c r="A12" s="1" t="s">
        <v>128</v>
      </c>
      <c r="B12" s="1" t="s">
        <v>41</v>
      </c>
      <c r="C12" s="1" t="s">
        <v>129</v>
      </c>
      <c r="D12" s="2">
        <v>43265.0</v>
      </c>
      <c r="E12" s="1" t="s">
        <v>130</v>
      </c>
      <c r="F12" s="1" t="s">
        <v>131</v>
      </c>
      <c r="G12" s="1" t="s">
        <v>132</v>
      </c>
      <c r="H12" s="1" t="s">
        <v>133</v>
      </c>
      <c r="L12" s="1" t="s">
        <v>134</v>
      </c>
      <c r="M12" s="1" t="s">
        <v>135</v>
      </c>
      <c r="N12" s="1">
        <v>3079.0</v>
      </c>
      <c r="O12" s="1" t="s">
        <v>49</v>
      </c>
      <c r="P12" s="1">
        <v>3.94996016E8</v>
      </c>
      <c r="Q12" s="1" t="str">
        <f t="shared" si="4"/>
        <v>394996016</v>
      </c>
      <c r="S12" s="1" t="str">
        <f t="shared" si="2"/>
        <v/>
      </c>
      <c r="T12" s="1">
        <v>4.19587049E8</v>
      </c>
      <c r="U12" s="1" t="str">
        <f t="shared" si="5"/>
        <v>0419587049</v>
      </c>
      <c r="V12" s="1" t="s">
        <v>136</v>
      </c>
      <c r="W12" s="1" t="s">
        <v>51</v>
      </c>
      <c r="Y12" s="1" t="s">
        <v>115</v>
      </c>
      <c r="Z12" s="1" t="s">
        <v>137</v>
      </c>
      <c r="AB12" s="1" t="s">
        <v>54</v>
      </c>
      <c r="AC12" s="1" t="s">
        <v>55</v>
      </c>
      <c r="AD12" s="1">
        <v>2.0</v>
      </c>
      <c r="AE12" s="1" t="s">
        <v>56</v>
      </c>
      <c r="AF12" s="1">
        <v>2.0</v>
      </c>
      <c r="AG12" s="1" t="s">
        <v>129</v>
      </c>
      <c r="AH12" s="2">
        <v>43265.0</v>
      </c>
      <c r="AI12" s="1" t="s">
        <v>138</v>
      </c>
      <c r="AJ12" s="1">
        <v>24.0</v>
      </c>
      <c r="AK12" s="1">
        <v>27.0</v>
      </c>
      <c r="AL12" s="1">
        <v>4.0</v>
      </c>
      <c r="AM12" s="1" t="s">
        <v>58</v>
      </c>
    </row>
    <row r="13" ht="15.75" customHeight="1">
      <c r="A13" s="1" t="s">
        <v>139</v>
      </c>
      <c r="B13" s="1" t="s">
        <v>41</v>
      </c>
      <c r="C13" s="1" t="s">
        <v>140</v>
      </c>
      <c r="D13" s="2">
        <v>43265.0</v>
      </c>
      <c r="E13" s="1" t="s">
        <v>141</v>
      </c>
      <c r="F13" s="1" t="s">
        <v>142</v>
      </c>
      <c r="G13" s="1" t="s">
        <v>143</v>
      </c>
      <c r="H13" s="1" t="s">
        <v>144</v>
      </c>
      <c r="L13" s="1" t="s">
        <v>145</v>
      </c>
      <c r="M13" s="1" t="s">
        <v>146</v>
      </c>
      <c r="N13" s="1">
        <v>3106.0</v>
      </c>
      <c r="O13" s="1" t="s">
        <v>49</v>
      </c>
      <c r="P13" s="1">
        <v>6.141173621E9</v>
      </c>
      <c r="Q13" s="1" t="str">
        <f>"6141173621"</f>
        <v>6141173621</v>
      </c>
      <c r="R13" s="1">
        <v>9.0</v>
      </c>
      <c r="S13" s="1" t="str">
        <f>"9"</f>
        <v>9</v>
      </c>
      <c r="T13" s="1">
        <v>6.1411736219E10</v>
      </c>
      <c r="U13" s="1" t="str">
        <f>"61411736219"</f>
        <v>61411736219</v>
      </c>
      <c r="V13" s="1" t="s">
        <v>147</v>
      </c>
      <c r="W13" s="1" t="s">
        <v>70</v>
      </c>
      <c r="Y13" s="1" t="s">
        <v>52</v>
      </c>
      <c r="Z13" s="1" t="s">
        <v>148</v>
      </c>
      <c r="AB13" s="1" t="s">
        <v>54</v>
      </c>
      <c r="AC13" s="1" t="s">
        <v>55</v>
      </c>
      <c r="AD13" s="1">
        <v>2.0</v>
      </c>
      <c r="AE13" s="1" t="s">
        <v>56</v>
      </c>
      <c r="AF13" s="1">
        <v>2.0</v>
      </c>
      <c r="AG13" s="1" t="s">
        <v>140</v>
      </c>
      <c r="AH13" s="2">
        <v>43265.0</v>
      </c>
      <c r="AI13" s="1" t="s">
        <v>138</v>
      </c>
      <c r="AJ13" s="1">
        <v>28.0</v>
      </c>
      <c r="AK13" s="1">
        <v>29.0</v>
      </c>
      <c r="AL13" s="1">
        <v>2.0</v>
      </c>
      <c r="AM13" s="1" t="s">
        <v>58</v>
      </c>
    </row>
    <row r="14" ht="15.75" customHeight="1">
      <c r="A14" s="1" t="s">
        <v>149</v>
      </c>
      <c r="B14" s="1" t="s">
        <v>41</v>
      </c>
      <c r="C14" s="1" t="s">
        <v>150</v>
      </c>
      <c r="D14" s="2">
        <v>43265.0</v>
      </c>
      <c r="E14" s="1" t="s">
        <v>151</v>
      </c>
      <c r="F14" s="1" t="s">
        <v>152</v>
      </c>
      <c r="G14" s="1" t="s">
        <v>153</v>
      </c>
      <c r="H14" s="1" t="s">
        <v>154</v>
      </c>
      <c r="L14" s="1" t="s">
        <v>155</v>
      </c>
      <c r="M14" s="1" t="s">
        <v>156</v>
      </c>
      <c r="N14" s="1">
        <v>3004.0</v>
      </c>
      <c r="O14" s="1" t="s">
        <v>49</v>
      </c>
      <c r="P14" s="1">
        <v>4.35719144E8</v>
      </c>
      <c r="Q14" s="1" t="str">
        <f>"435719144"</f>
        <v>435719144</v>
      </c>
      <c r="S14" s="1" t="str">
        <f t="shared" ref="S14:S29" si="6">""</f>
        <v/>
      </c>
      <c r="U14" s="1" t="str">
        <f>""</f>
        <v/>
      </c>
      <c r="V14" s="1" t="s">
        <v>157</v>
      </c>
      <c r="W14" s="1" t="s">
        <v>51</v>
      </c>
      <c r="Y14" s="1" t="s">
        <v>52</v>
      </c>
      <c r="Z14" s="1" t="s">
        <v>158</v>
      </c>
      <c r="AB14" s="1" t="s">
        <v>54</v>
      </c>
      <c r="AC14" s="1" t="s">
        <v>55</v>
      </c>
      <c r="AD14" s="1">
        <v>3.0</v>
      </c>
      <c r="AE14" s="1" t="s">
        <v>56</v>
      </c>
      <c r="AF14" s="1">
        <v>3.0</v>
      </c>
      <c r="AG14" s="1" t="s">
        <v>150</v>
      </c>
      <c r="AH14" s="2">
        <v>43265.0</v>
      </c>
      <c r="AI14" s="1" t="s">
        <v>96</v>
      </c>
      <c r="AJ14" s="1">
        <v>26.0</v>
      </c>
      <c r="AK14" s="1">
        <v>29.0</v>
      </c>
      <c r="AL14" s="1">
        <v>4.0</v>
      </c>
      <c r="AM14" s="1" t="s">
        <v>58</v>
      </c>
    </row>
    <row r="15" ht="15.75" customHeight="1">
      <c r="A15" s="1" t="s">
        <v>159</v>
      </c>
      <c r="B15" s="1" t="s">
        <v>41</v>
      </c>
      <c r="C15" s="1" t="s">
        <v>160</v>
      </c>
      <c r="D15" s="2">
        <v>43265.0</v>
      </c>
      <c r="E15" s="1" t="s">
        <v>130</v>
      </c>
      <c r="F15" s="1" t="s">
        <v>131</v>
      </c>
      <c r="G15" s="1" t="s">
        <v>132</v>
      </c>
      <c r="H15" s="1" t="s">
        <v>133</v>
      </c>
      <c r="L15" s="1" t="s">
        <v>134</v>
      </c>
      <c r="M15" s="1" t="s">
        <v>135</v>
      </c>
      <c r="N15" s="1">
        <v>3079.0</v>
      </c>
      <c r="O15" s="1" t="s">
        <v>49</v>
      </c>
      <c r="P15" s="1">
        <v>3.94996016E8</v>
      </c>
      <c r="Q15" s="1" t="str">
        <f>"394996016"</f>
        <v>394996016</v>
      </c>
      <c r="S15" s="1" t="str">
        <f t="shared" si="6"/>
        <v/>
      </c>
      <c r="T15" s="1">
        <v>4.19587049E8</v>
      </c>
      <c r="U15" s="1" t="str">
        <f>"0419587049"</f>
        <v>0419587049</v>
      </c>
      <c r="V15" s="1" t="s">
        <v>136</v>
      </c>
      <c r="W15" s="1" t="s">
        <v>51</v>
      </c>
      <c r="Y15" s="1" t="s">
        <v>115</v>
      </c>
      <c r="Z15" s="1" t="s">
        <v>137</v>
      </c>
      <c r="AB15" s="1" t="s">
        <v>54</v>
      </c>
      <c r="AC15" s="1" t="s">
        <v>55</v>
      </c>
      <c r="AD15" s="1">
        <v>2.0</v>
      </c>
      <c r="AE15" s="1" t="s">
        <v>56</v>
      </c>
      <c r="AF15" s="1">
        <v>2.0</v>
      </c>
      <c r="AG15" s="1" t="s">
        <v>160</v>
      </c>
      <c r="AH15" s="2">
        <v>43265.0</v>
      </c>
      <c r="AI15" s="1" t="s">
        <v>117</v>
      </c>
      <c r="AJ15" s="1">
        <v>14.0</v>
      </c>
      <c r="AK15" s="1">
        <v>15.0</v>
      </c>
      <c r="AL15" s="1">
        <v>2.0</v>
      </c>
      <c r="AM15" s="1" t="s">
        <v>58</v>
      </c>
    </row>
    <row r="16" ht="15.75" customHeight="1">
      <c r="A16" s="1" t="s">
        <v>161</v>
      </c>
      <c r="B16" s="1" t="s">
        <v>41</v>
      </c>
      <c r="C16" s="1" t="s">
        <v>162</v>
      </c>
      <c r="D16" s="2">
        <v>43265.0</v>
      </c>
      <c r="E16" s="1" t="s">
        <v>163</v>
      </c>
      <c r="F16" s="1" t="s">
        <v>164</v>
      </c>
      <c r="G16" s="1" t="s">
        <v>165</v>
      </c>
      <c r="H16" s="1" t="s">
        <v>166</v>
      </c>
      <c r="L16" s="1" t="s">
        <v>167</v>
      </c>
      <c r="M16" s="1" t="s">
        <v>168</v>
      </c>
      <c r="N16" s="1">
        <v>3181.0</v>
      </c>
      <c r="O16" s="1" t="s">
        <v>49</v>
      </c>
      <c r="P16" s="1">
        <v>4.90170831E8</v>
      </c>
      <c r="Q16" s="1" t="str">
        <f>"490170831"</f>
        <v>490170831</v>
      </c>
      <c r="S16" s="1" t="str">
        <f t="shared" si="6"/>
        <v/>
      </c>
      <c r="U16" s="1" t="str">
        <f t="shared" ref="U16:U17" si="7">""</f>
        <v/>
      </c>
      <c r="V16" s="1" t="s">
        <v>169</v>
      </c>
      <c r="W16" s="1" t="s">
        <v>51</v>
      </c>
      <c r="Y16" s="1" t="s">
        <v>115</v>
      </c>
      <c r="Z16" s="1" t="s">
        <v>170</v>
      </c>
      <c r="AB16" s="1" t="s">
        <v>54</v>
      </c>
      <c r="AC16" s="1" t="s">
        <v>55</v>
      </c>
      <c r="AD16" s="1">
        <v>3.0</v>
      </c>
      <c r="AE16" s="1" t="s">
        <v>56</v>
      </c>
      <c r="AF16" s="1">
        <v>3.0</v>
      </c>
      <c r="AG16" s="1" t="s">
        <v>162</v>
      </c>
      <c r="AH16" s="2">
        <v>43265.0</v>
      </c>
      <c r="AI16" s="1" t="s">
        <v>96</v>
      </c>
      <c r="AJ16" s="1">
        <v>14.0</v>
      </c>
      <c r="AK16" s="1">
        <v>18.0</v>
      </c>
      <c r="AL16" s="1">
        <v>5.0</v>
      </c>
      <c r="AM16" s="1" t="s">
        <v>58</v>
      </c>
    </row>
    <row r="17" ht="15.75" customHeight="1">
      <c r="A17" s="1" t="s">
        <v>171</v>
      </c>
      <c r="B17" s="1" t="s">
        <v>41</v>
      </c>
      <c r="C17" s="1" t="s">
        <v>172</v>
      </c>
      <c r="D17" s="2">
        <v>43265.0</v>
      </c>
      <c r="E17" s="1" t="s">
        <v>173</v>
      </c>
      <c r="F17" s="1" t="s">
        <v>174</v>
      </c>
      <c r="G17" s="1" t="s">
        <v>175</v>
      </c>
      <c r="H17" s="1" t="s">
        <v>176</v>
      </c>
      <c r="L17" s="1" t="s">
        <v>177</v>
      </c>
      <c r="M17" s="1" t="s">
        <v>156</v>
      </c>
      <c r="N17" s="1">
        <v>3031.0</v>
      </c>
      <c r="O17" s="1" t="s">
        <v>49</v>
      </c>
      <c r="P17" s="1">
        <v>4.15828163E8</v>
      </c>
      <c r="Q17" s="1" t="str">
        <f>"415828163"</f>
        <v>415828163</v>
      </c>
      <c r="S17" s="1" t="str">
        <f t="shared" si="6"/>
        <v/>
      </c>
      <c r="U17" s="1" t="str">
        <f t="shared" si="7"/>
        <v/>
      </c>
      <c r="V17" s="1" t="s">
        <v>178</v>
      </c>
      <c r="W17" s="1" t="s">
        <v>51</v>
      </c>
      <c r="Y17" s="1" t="s">
        <v>52</v>
      </c>
      <c r="Z17" s="1" t="s">
        <v>179</v>
      </c>
      <c r="AB17" s="1" t="s">
        <v>54</v>
      </c>
      <c r="AC17" s="1" t="s">
        <v>55</v>
      </c>
      <c r="AD17" s="1">
        <v>4.0</v>
      </c>
      <c r="AE17" s="1" t="s">
        <v>180</v>
      </c>
      <c r="AF17" s="1">
        <v>4.0</v>
      </c>
      <c r="AG17" s="1" t="s">
        <v>172</v>
      </c>
      <c r="AH17" s="2">
        <v>43265.0</v>
      </c>
      <c r="AI17" s="1" t="s">
        <v>57</v>
      </c>
      <c r="AJ17" s="1">
        <v>19.0</v>
      </c>
      <c r="AK17" s="1">
        <v>20.0</v>
      </c>
      <c r="AL17" s="1">
        <v>2.0</v>
      </c>
      <c r="AM17" s="1" t="s">
        <v>58</v>
      </c>
    </row>
    <row r="18" ht="15.75" customHeight="1">
      <c r="A18" s="1" t="s">
        <v>181</v>
      </c>
      <c r="B18" s="1" t="s">
        <v>41</v>
      </c>
      <c r="C18" s="1" t="s">
        <v>182</v>
      </c>
      <c r="D18" s="2">
        <v>43265.0</v>
      </c>
      <c r="E18" s="1" t="s">
        <v>183</v>
      </c>
      <c r="F18" s="1" t="s">
        <v>184</v>
      </c>
      <c r="G18" s="1" t="s">
        <v>185</v>
      </c>
      <c r="H18" s="1" t="s">
        <v>186</v>
      </c>
      <c r="L18" s="1" t="s">
        <v>187</v>
      </c>
      <c r="M18" s="1" t="s">
        <v>188</v>
      </c>
      <c r="N18" s="1">
        <v>3875.0</v>
      </c>
      <c r="O18" s="1" t="s">
        <v>49</v>
      </c>
      <c r="P18" s="1">
        <v>4.03491864E8</v>
      </c>
      <c r="Q18" s="1" t="str">
        <f>"403491864"</f>
        <v>403491864</v>
      </c>
      <c r="S18" s="1" t="str">
        <f t="shared" si="6"/>
        <v/>
      </c>
      <c r="T18" s="1">
        <v>4.03491864E8</v>
      </c>
      <c r="U18" s="1" t="str">
        <f>"0403491864"</f>
        <v>0403491864</v>
      </c>
      <c r="V18" s="1" t="s">
        <v>189</v>
      </c>
      <c r="W18" s="1" t="s">
        <v>51</v>
      </c>
      <c r="Y18" s="1" t="s">
        <v>115</v>
      </c>
      <c r="Z18" s="1" t="s">
        <v>190</v>
      </c>
      <c r="AB18" s="1" t="s">
        <v>54</v>
      </c>
      <c r="AC18" s="1" t="s">
        <v>55</v>
      </c>
      <c r="AD18" s="1">
        <v>4.0</v>
      </c>
      <c r="AE18" s="1" t="s">
        <v>180</v>
      </c>
      <c r="AF18" s="1">
        <v>4.0</v>
      </c>
      <c r="AG18" s="1" t="s">
        <v>182</v>
      </c>
      <c r="AH18" s="2">
        <v>43265.0</v>
      </c>
      <c r="AI18" s="1" t="s">
        <v>57</v>
      </c>
      <c r="AJ18" s="1">
        <v>26.0</v>
      </c>
      <c r="AK18" s="1">
        <v>27.0</v>
      </c>
      <c r="AL18" s="1">
        <v>2.0</v>
      </c>
      <c r="AM18" s="1" t="s">
        <v>58</v>
      </c>
    </row>
    <row r="19" ht="15.75" customHeight="1">
      <c r="A19" s="1" t="s">
        <v>191</v>
      </c>
      <c r="B19" s="1" t="s">
        <v>41</v>
      </c>
      <c r="C19" s="1" t="s">
        <v>192</v>
      </c>
      <c r="D19" s="2">
        <v>43265.0</v>
      </c>
      <c r="E19" s="1" t="s">
        <v>193</v>
      </c>
      <c r="F19" s="1" t="s">
        <v>194</v>
      </c>
      <c r="G19" s="1" t="s">
        <v>195</v>
      </c>
      <c r="H19" s="1" t="s">
        <v>196</v>
      </c>
      <c r="L19" s="1" t="s">
        <v>197</v>
      </c>
      <c r="M19" s="1" t="s">
        <v>198</v>
      </c>
      <c r="N19" s="1">
        <v>3081.0</v>
      </c>
      <c r="O19" s="1" t="s">
        <v>49</v>
      </c>
      <c r="P19" s="1">
        <v>4.51987226E8</v>
      </c>
      <c r="Q19" s="1" t="str">
        <f>"451987226"</f>
        <v>451987226</v>
      </c>
      <c r="S19" s="1" t="str">
        <f t="shared" si="6"/>
        <v/>
      </c>
      <c r="T19" s="1">
        <v>4.51987226E8</v>
      </c>
      <c r="U19" s="1" t="str">
        <f>"0451987226"</f>
        <v>0451987226</v>
      </c>
      <c r="V19" s="1" t="s">
        <v>199</v>
      </c>
      <c r="W19" s="1" t="s">
        <v>51</v>
      </c>
      <c r="Y19" s="1" t="s">
        <v>115</v>
      </c>
      <c r="Z19" s="1" t="s">
        <v>200</v>
      </c>
      <c r="AB19" s="1" t="s">
        <v>54</v>
      </c>
      <c r="AC19" s="1" t="s">
        <v>83</v>
      </c>
      <c r="AD19" s="1">
        <v>1.0</v>
      </c>
      <c r="AE19" s="1" t="s">
        <v>56</v>
      </c>
      <c r="AF19" s="1">
        <v>1.0</v>
      </c>
      <c r="AG19" s="1" t="s">
        <v>192</v>
      </c>
      <c r="AH19" s="2">
        <v>43265.0</v>
      </c>
      <c r="AI19" s="1" t="s">
        <v>57</v>
      </c>
      <c r="AJ19" s="1">
        <v>17.0</v>
      </c>
      <c r="AK19" s="1">
        <v>18.0</v>
      </c>
      <c r="AL19" s="1">
        <v>2.0</v>
      </c>
      <c r="AM19" s="1" t="s">
        <v>58</v>
      </c>
    </row>
    <row r="20" ht="15.75" customHeight="1">
      <c r="A20" s="1" t="s">
        <v>201</v>
      </c>
      <c r="B20" s="1" t="s">
        <v>41</v>
      </c>
      <c r="C20" s="1" t="s">
        <v>202</v>
      </c>
      <c r="D20" s="2">
        <v>43265.0</v>
      </c>
      <c r="E20" s="1" t="s">
        <v>203</v>
      </c>
      <c r="F20" s="1" t="s">
        <v>204</v>
      </c>
      <c r="G20" s="1" t="s">
        <v>205</v>
      </c>
      <c r="H20" s="1" t="s">
        <v>206</v>
      </c>
      <c r="L20" s="1" t="s">
        <v>207</v>
      </c>
      <c r="M20" s="1" t="s">
        <v>208</v>
      </c>
      <c r="N20" s="1">
        <v>3128.0</v>
      </c>
      <c r="O20" s="1" t="s">
        <v>49</v>
      </c>
      <c r="P20" s="1">
        <v>4.2454128E8</v>
      </c>
      <c r="Q20" s="1" t="str">
        <f>"424541280"</f>
        <v>424541280</v>
      </c>
      <c r="S20" s="1" t="str">
        <f t="shared" si="6"/>
        <v/>
      </c>
      <c r="U20" s="1" t="str">
        <f t="shared" ref="U20:U21" si="8">""</f>
        <v/>
      </c>
      <c r="V20" s="1" t="s">
        <v>209</v>
      </c>
      <c r="W20" s="1" t="s">
        <v>51</v>
      </c>
      <c r="Y20" s="1" t="s">
        <v>52</v>
      </c>
      <c r="Z20" s="1" t="s">
        <v>210</v>
      </c>
      <c r="AB20" s="1" t="s">
        <v>54</v>
      </c>
      <c r="AC20" s="1" t="s">
        <v>55</v>
      </c>
      <c r="AD20" s="1">
        <v>4.0</v>
      </c>
      <c r="AE20" s="1" t="s">
        <v>180</v>
      </c>
      <c r="AF20" s="1">
        <v>4.0</v>
      </c>
      <c r="AG20" s="1" t="s">
        <v>202</v>
      </c>
      <c r="AH20" s="2">
        <v>43265.0</v>
      </c>
      <c r="AI20" s="1" t="s">
        <v>57</v>
      </c>
      <c r="AJ20" s="1">
        <v>18.0</v>
      </c>
      <c r="AK20" s="1">
        <v>18.0</v>
      </c>
      <c r="AL20" s="1">
        <v>1.0</v>
      </c>
      <c r="AM20" s="1" t="s">
        <v>58</v>
      </c>
    </row>
    <row r="21" ht="15.75" customHeight="1">
      <c r="A21" s="1" t="s">
        <v>211</v>
      </c>
      <c r="B21" s="1" t="s">
        <v>41</v>
      </c>
      <c r="C21" s="1" t="s">
        <v>212</v>
      </c>
      <c r="D21" s="2">
        <v>43265.0</v>
      </c>
      <c r="E21" s="1" t="s">
        <v>213</v>
      </c>
      <c r="F21" s="1" t="s">
        <v>214</v>
      </c>
      <c r="G21" s="1" t="s">
        <v>215</v>
      </c>
      <c r="H21" s="1" t="s">
        <v>216</v>
      </c>
      <c r="L21" s="1" t="s">
        <v>217</v>
      </c>
      <c r="M21" s="1" t="s">
        <v>218</v>
      </c>
      <c r="N21" s="1">
        <v>3169.0</v>
      </c>
      <c r="O21" s="1" t="s">
        <v>49</v>
      </c>
      <c r="P21" s="1">
        <v>4.52609786E8</v>
      </c>
      <c r="Q21" s="1" t="str">
        <f>"452609786"</f>
        <v>452609786</v>
      </c>
      <c r="S21" s="1" t="str">
        <f t="shared" si="6"/>
        <v/>
      </c>
      <c r="U21" s="1" t="str">
        <f t="shared" si="8"/>
        <v/>
      </c>
      <c r="V21" s="1" t="s">
        <v>219</v>
      </c>
      <c r="W21" s="1" t="s">
        <v>51</v>
      </c>
      <c r="Y21" s="1" t="s">
        <v>115</v>
      </c>
      <c r="Z21" s="1" t="s">
        <v>220</v>
      </c>
      <c r="AB21" s="1" t="s">
        <v>54</v>
      </c>
      <c r="AC21" s="1" t="s">
        <v>55</v>
      </c>
      <c r="AD21" s="1">
        <v>1.0</v>
      </c>
      <c r="AE21" s="1" t="s">
        <v>56</v>
      </c>
      <c r="AF21" s="1">
        <v>1.0</v>
      </c>
      <c r="AG21" s="1" t="s">
        <v>212</v>
      </c>
      <c r="AH21" s="2">
        <v>43265.0</v>
      </c>
      <c r="AI21" s="1" t="s">
        <v>72</v>
      </c>
      <c r="AJ21" s="1">
        <v>23.0</v>
      </c>
      <c r="AK21" s="1">
        <v>25.0</v>
      </c>
      <c r="AL21" s="1">
        <v>3.0</v>
      </c>
      <c r="AM21" s="1" t="s">
        <v>58</v>
      </c>
    </row>
    <row r="22" ht="15.75" customHeight="1">
      <c r="A22" s="1" t="s">
        <v>221</v>
      </c>
      <c r="B22" s="1" t="s">
        <v>41</v>
      </c>
      <c r="C22" s="1" t="s">
        <v>222</v>
      </c>
      <c r="D22" s="2">
        <v>43266.0</v>
      </c>
      <c r="E22" s="1" t="s">
        <v>223</v>
      </c>
      <c r="F22" s="1" t="s">
        <v>224</v>
      </c>
      <c r="G22" s="1" t="s">
        <v>225</v>
      </c>
      <c r="H22" s="1" t="s">
        <v>226</v>
      </c>
      <c r="L22" s="1" t="s">
        <v>227</v>
      </c>
      <c r="M22" s="1" t="s">
        <v>228</v>
      </c>
      <c r="N22" s="1">
        <v>3337.0</v>
      </c>
      <c r="O22" s="1" t="s">
        <v>49</v>
      </c>
      <c r="P22" s="1">
        <v>4.23422038E8</v>
      </c>
      <c r="Q22" s="1" t="str">
        <f>"423422038"</f>
        <v>423422038</v>
      </c>
      <c r="S22" s="1" t="str">
        <f t="shared" si="6"/>
        <v/>
      </c>
      <c r="T22" s="1">
        <v>4.23422038E8</v>
      </c>
      <c r="U22" s="1" t="str">
        <f>"0423422038"</f>
        <v>0423422038</v>
      </c>
      <c r="V22" s="1" t="s">
        <v>229</v>
      </c>
      <c r="W22" s="1" t="s">
        <v>51</v>
      </c>
      <c r="X22" s="1" t="s">
        <v>230</v>
      </c>
      <c r="Y22" s="1" t="s">
        <v>52</v>
      </c>
      <c r="Z22" s="1" t="s">
        <v>231</v>
      </c>
      <c r="AB22" s="1" t="s">
        <v>54</v>
      </c>
      <c r="AC22" s="1" t="s">
        <v>55</v>
      </c>
      <c r="AD22" s="1">
        <v>1.0</v>
      </c>
      <c r="AE22" s="1" t="s">
        <v>56</v>
      </c>
      <c r="AF22" s="1">
        <v>1.0</v>
      </c>
      <c r="AG22" s="1" t="s">
        <v>222</v>
      </c>
      <c r="AH22" s="2">
        <v>43266.0</v>
      </c>
      <c r="AI22" s="1" t="s">
        <v>57</v>
      </c>
      <c r="AJ22" s="1">
        <v>24.0</v>
      </c>
      <c r="AK22" s="1">
        <v>25.0</v>
      </c>
      <c r="AL22" s="1">
        <v>2.0</v>
      </c>
      <c r="AM22" s="1" t="s">
        <v>58</v>
      </c>
    </row>
    <row r="23" ht="15.75" customHeight="1">
      <c r="A23" s="1" t="s">
        <v>232</v>
      </c>
      <c r="B23" s="1" t="s">
        <v>41</v>
      </c>
      <c r="C23" s="1" t="s">
        <v>233</v>
      </c>
      <c r="D23" s="2">
        <v>43266.0</v>
      </c>
      <c r="E23" s="1" t="s">
        <v>234</v>
      </c>
      <c r="F23" s="1" t="s">
        <v>235</v>
      </c>
      <c r="G23" s="1" t="s">
        <v>236</v>
      </c>
      <c r="H23" s="1" t="s">
        <v>237</v>
      </c>
      <c r="L23" s="1" t="s">
        <v>238</v>
      </c>
      <c r="M23" s="1" t="s">
        <v>239</v>
      </c>
      <c r="N23" s="1">
        <v>3216.0</v>
      </c>
      <c r="O23" s="1" t="s">
        <v>49</v>
      </c>
      <c r="P23" s="1">
        <v>4.02639989E8</v>
      </c>
      <c r="Q23" s="1" t="str">
        <f>"402639989"</f>
        <v>402639989</v>
      </c>
      <c r="S23" s="1" t="str">
        <f t="shared" si="6"/>
        <v/>
      </c>
      <c r="U23" s="1" t="str">
        <f t="shared" ref="U23:U24" si="9">""</f>
        <v/>
      </c>
      <c r="V23" s="1" t="s">
        <v>240</v>
      </c>
      <c r="W23" s="1" t="s">
        <v>51</v>
      </c>
      <c r="Y23" s="1" t="s">
        <v>115</v>
      </c>
      <c r="Z23" s="1" t="s">
        <v>241</v>
      </c>
      <c r="AB23" s="1" t="s">
        <v>54</v>
      </c>
      <c r="AC23" s="1" t="s">
        <v>55</v>
      </c>
      <c r="AD23" s="1">
        <v>1.0</v>
      </c>
      <c r="AE23" s="1" t="s">
        <v>56</v>
      </c>
      <c r="AF23" s="1">
        <v>1.0</v>
      </c>
      <c r="AG23" s="1" t="s">
        <v>233</v>
      </c>
      <c r="AH23" s="2">
        <v>43266.0</v>
      </c>
      <c r="AI23" s="1" t="s">
        <v>57</v>
      </c>
      <c r="AJ23" s="1">
        <v>26.0</v>
      </c>
      <c r="AK23" s="1">
        <v>27.0</v>
      </c>
      <c r="AL23" s="1">
        <v>2.0</v>
      </c>
      <c r="AM23" s="1" t="s">
        <v>58</v>
      </c>
    </row>
    <row r="24" ht="15.75" customHeight="1">
      <c r="A24" s="1" t="s">
        <v>242</v>
      </c>
      <c r="B24" s="1" t="s">
        <v>41</v>
      </c>
      <c r="C24" s="1" t="s">
        <v>243</v>
      </c>
      <c r="D24" s="2">
        <v>43266.0</v>
      </c>
      <c r="E24" s="1" t="s">
        <v>75</v>
      </c>
      <c r="F24" s="1" t="s">
        <v>76</v>
      </c>
      <c r="G24" s="1" t="s">
        <v>77</v>
      </c>
      <c r="H24" s="1" t="s">
        <v>78</v>
      </c>
      <c r="L24" s="1" t="s">
        <v>244</v>
      </c>
      <c r="M24" s="1" t="s">
        <v>245</v>
      </c>
      <c r="N24" s="1">
        <v>3145.0</v>
      </c>
      <c r="O24" s="1" t="s">
        <v>49</v>
      </c>
      <c r="P24" s="1">
        <v>3.95685814E8</v>
      </c>
      <c r="Q24" s="1" t="str">
        <f>"395685814"</f>
        <v>395685814</v>
      </c>
      <c r="S24" s="1" t="str">
        <f t="shared" si="6"/>
        <v/>
      </c>
      <c r="U24" s="1" t="str">
        <f t="shared" si="9"/>
        <v/>
      </c>
      <c r="V24" s="1" t="s">
        <v>81</v>
      </c>
      <c r="W24" s="1" t="s">
        <v>51</v>
      </c>
      <c r="Y24" s="1" t="s">
        <v>52</v>
      </c>
      <c r="Z24" s="1" t="s">
        <v>82</v>
      </c>
      <c r="AB24" s="1" t="s">
        <v>54</v>
      </c>
      <c r="AC24" s="1" t="s">
        <v>83</v>
      </c>
      <c r="AD24" s="1">
        <v>1.0</v>
      </c>
      <c r="AE24" s="1" t="s">
        <v>56</v>
      </c>
      <c r="AF24" s="1">
        <v>1.0</v>
      </c>
      <c r="AG24" s="1" t="s">
        <v>243</v>
      </c>
      <c r="AH24" s="2">
        <v>43266.0</v>
      </c>
      <c r="AI24" s="1" t="s">
        <v>85</v>
      </c>
      <c r="AJ24" s="1">
        <v>16.0</v>
      </c>
      <c r="AK24" s="1">
        <v>17.0</v>
      </c>
      <c r="AL24" s="1">
        <v>2.0</v>
      </c>
      <c r="AM24" s="1" t="s">
        <v>58</v>
      </c>
    </row>
    <row r="25" ht="15.75" customHeight="1">
      <c r="A25" s="1" t="s">
        <v>246</v>
      </c>
      <c r="B25" s="1" t="s">
        <v>41</v>
      </c>
      <c r="C25" s="1" t="s">
        <v>247</v>
      </c>
      <c r="D25" s="2">
        <v>43266.0</v>
      </c>
      <c r="E25" s="1" t="s">
        <v>248</v>
      </c>
      <c r="F25" s="1" t="s">
        <v>249</v>
      </c>
      <c r="G25" s="1" t="s">
        <v>250</v>
      </c>
      <c r="H25" s="1" t="s">
        <v>251</v>
      </c>
      <c r="L25" s="1" t="s">
        <v>252</v>
      </c>
      <c r="M25" s="1" t="s">
        <v>253</v>
      </c>
      <c r="N25" s="1">
        <v>3132.0</v>
      </c>
      <c r="O25" s="1" t="s">
        <v>49</v>
      </c>
      <c r="P25" s="1">
        <v>4.3228766E8</v>
      </c>
      <c r="Q25" s="1" t="str">
        <f t="shared" ref="Q25:Q26" si="10">"432287660"</f>
        <v>432287660</v>
      </c>
      <c r="S25" s="1" t="str">
        <f t="shared" si="6"/>
        <v/>
      </c>
      <c r="T25" s="1">
        <v>4.3228766E8</v>
      </c>
      <c r="U25" s="1" t="str">
        <f t="shared" ref="U25:U26" si="11">"0432287660"</f>
        <v>0432287660</v>
      </c>
      <c r="V25" s="1" t="s">
        <v>254</v>
      </c>
      <c r="W25" s="1" t="s">
        <v>51</v>
      </c>
      <c r="Y25" s="1" t="s">
        <v>52</v>
      </c>
      <c r="Z25" s="1" t="s">
        <v>255</v>
      </c>
      <c r="AB25" s="1" t="s">
        <v>54</v>
      </c>
      <c r="AC25" s="1" t="s">
        <v>55</v>
      </c>
      <c r="AD25" s="1">
        <v>1.0</v>
      </c>
      <c r="AE25" s="1" t="s">
        <v>56</v>
      </c>
      <c r="AF25" s="1">
        <v>1.0</v>
      </c>
      <c r="AG25" s="1" t="s">
        <v>247</v>
      </c>
      <c r="AH25" s="2">
        <v>43266.0</v>
      </c>
      <c r="AI25" s="1" t="s">
        <v>57</v>
      </c>
      <c r="AJ25" s="1">
        <v>14.0</v>
      </c>
      <c r="AK25" s="1">
        <v>16.0</v>
      </c>
      <c r="AL25" s="1">
        <v>3.0</v>
      </c>
      <c r="AM25" s="1" t="s">
        <v>58</v>
      </c>
    </row>
    <row r="26" ht="15.75" customHeight="1">
      <c r="A26" s="1" t="s">
        <v>256</v>
      </c>
      <c r="B26" s="1" t="s">
        <v>41</v>
      </c>
      <c r="C26" s="1" t="s">
        <v>257</v>
      </c>
      <c r="D26" s="2">
        <v>43266.0</v>
      </c>
      <c r="E26" s="1" t="s">
        <v>248</v>
      </c>
      <c r="F26" s="1" t="s">
        <v>249</v>
      </c>
      <c r="G26" s="1" t="s">
        <v>250</v>
      </c>
      <c r="H26" s="1" t="s">
        <v>251</v>
      </c>
      <c r="L26" s="1" t="s">
        <v>252</v>
      </c>
      <c r="M26" s="1" t="s">
        <v>253</v>
      </c>
      <c r="N26" s="1">
        <v>3132.0</v>
      </c>
      <c r="O26" s="1" t="s">
        <v>49</v>
      </c>
      <c r="P26" s="1">
        <v>4.3228766E8</v>
      </c>
      <c r="Q26" s="1" t="str">
        <f t="shared" si="10"/>
        <v>432287660</v>
      </c>
      <c r="S26" s="1" t="str">
        <f t="shared" si="6"/>
        <v/>
      </c>
      <c r="T26" s="1">
        <v>4.3228766E8</v>
      </c>
      <c r="U26" s="1" t="str">
        <f t="shared" si="11"/>
        <v>0432287660</v>
      </c>
      <c r="V26" s="1" t="s">
        <v>254</v>
      </c>
      <c r="W26" s="1" t="s">
        <v>51</v>
      </c>
      <c r="Y26" s="1" t="s">
        <v>52</v>
      </c>
      <c r="Z26" s="1" t="s">
        <v>255</v>
      </c>
      <c r="AB26" s="1" t="s">
        <v>54</v>
      </c>
      <c r="AC26" s="1" t="s">
        <v>55</v>
      </c>
      <c r="AD26" s="1">
        <v>1.0</v>
      </c>
      <c r="AE26" s="1" t="s">
        <v>56</v>
      </c>
      <c r="AF26" s="1">
        <v>1.0</v>
      </c>
      <c r="AG26" s="1" t="s">
        <v>257</v>
      </c>
      <c r="AH26" s="2">
        <v>43266.0</v>
      </c>
      <c r="AI26" s="1" t="s">
        <v>72</v>
      </c>
      <c r="AJ26" s="1">
        <v>26.0</v>
      </c>
      <c r="AK26" s="1">
        <v>26.0</v>
      </c>
      <c r="AL26" s="1">
        <v>1.0</v>
      </c>
      <c r="AM26" s="1" t="s">
        <v>58</v>
      </c>
    </row>
    <row r="27" ht="15.75" customHeight="1">
      <c r="A27" s="1" t="s">
        <v>258</v>
      </c>
      <c r="B27" s="1" t="s">
        <v>41</v>
      </c>
      <c r="C27" s="1" t="s">
        <v>259</v>
      </c>
      <c r="D27" s="2">
        <v>43266.0</v>
      </c>
      <c r="E27" s="1" t="s">
        <v>260</v>
      </c>
      <c r="F27" s="1" t="s">
        <v>261</v>
      </c>
      <c r="G27" s="1" t="s">
        <v>262</v>
      </c>
      <c r="H27" s="1" t="s">
        <v>263</v>
      </c>
      <c r="L27" s="1" t="s">
        <v>264</v>
      </c>
      <c r="M27" s="1" t="s">
        <v>265</v>
      </c>
      <c r="N27" s="1">
        <v>3153.0</v>
      </c>
      <c r="O27" s="1" t="s">
        <v>49</v>
      </c>
      <c r="P27" s="1">
        <v>4.02431908E8</v>
      </c>
      <c r="Q27" s="1" t="str">
        <f>"402431908"</f>
        <v>402431908</v>
      </c>
      <c r="S27" s="1" t="str">
        <f t="shared" si="6"/>
        <v/>
      </c>
      <c r="T27" s="1">
        <v>4.02431908E8</v>
      </c>
      <c r="U27" s="1" t="str">
        <f>"0402431908"</f>
        <v>0402431908</v>
      </c>
      <c r="V27" s="1" t="s">
        <v>266</v>
      </c>
      <c r="W27" s="1" t="s">
        <v>51</v>
      </c>
      <c r="Y27" s="1" t="s">
        <v>115</v>
      </c>
      <c r="Z27" s="1" t="s">
        <v>267</v>
      </c>
      <c r="AB27" s="1" t="s">
        <v>54</v>
      </c>
      <c r="AC27" s="1" t="s">
        <v>55</v>
      </c>
      <c r="AD27" s="1">
        <v>3.0</v>
      </c>
      <c r="AE27" s="1" t="s">
        <v>56</v>
      </c>
      <c r="AF27" s="1">
        <v>3.0</v>
      </c>
      <c r="AG27" s="1" t="s">
        <v>259</v>
      </c>
      <c r="AH27" s="2">
        <v>43266.0</v>
      </c>
      <c r="AI27" s="1" t="s">
        <v>268</v>
      </c>
      <c r="AJ27" s="1">
        <v>14.0</v>
      </c>
      <c r="AK27" s="1">
        <v>18.0</v>
      </c>
      <c r="AL27" s="1">
        <v>5.0</v>
      </c>
      <c r="AM27" s="1" t="s">
        <v>58</v>
      </c>
    </row>
    <row r="28" ht="15.75" customHeight="1">
      <c r="A28" s="1" t="s">
        <v>269</v>
      </c>
      <c r="B28" s="1" t="s">
        <v>41</v>
      </c>
      <c r="C28" s="1" t="s">
        <v>270</v>
      </c>
      <c r="D28" s="2">
        <v>43266.0</v>
      </c>
      <c r="E28" s="1" t="s">
        <v>271</v>
      </c>
      <c r="F28" s="1" t="s">
        <v>272</v>
      </c>
      <c r="G28" s="1" t="s">
        <v>273</v>
      </c>
      <c r="H28" s="1" t="s">
        <v>274</v>
      </c>
      <c r="L28" s="1" t="s">
        <v>275</v>
      </c>
      <c r="M28" s="1" t="s">
        <v>276</v>
      </c>
      <c r="N28" s="1">
        <v>3030.0</v>
      </c>
      <c r="O28" s="1" t="s">
        <v>49</v>
      </c>
      <c r="P28" s="1">
        <v>3.93951469E8</v>
      </c>
      <c r="Q28" s="1" t="str">
        <f>"393951469"</f>
        <v>393951469</v>
      </c>
      <c r="S28" s="1" t="str">
        <f t="shared" si="6"/>
        <v/>
      </c>
      <c r="T28" s="1">
        <v>4.30214618E8</v>
      </c>
      <c r="U28" s="1" t="str">
        <f>"0430214618"</f>
        <v>0430214618</v>
      </c>
      <c r="V28" s="1" t="s">
        <v>277</v>
      </c>
      <c r="W28" s="1" t="s">
        <v>51</v>
      </c>
      <c r="Y28" s="1" t="s">
        <v>115</v>
      </c>
      <c r="Z28" s="1" t="s">
        <v>278</v>
      </c>
      <c r="AB28" s="1" t="s">
        <v>54</v>
      </c>
      <c r="AC28" s="1" t="s">
        <v>55</v>
      </c>
      <c r="AD28" s="1">
        <v>4.0</v>
      </c>
      <c r="AE28" s="1" t="s">
        <v>180</v>
      </c>
      <c r="AF28" s="1">
        <v>4.0</v>
      </c>
      <c r="AG28" s="1" t="s">
        <v>270</v>
      </c>
      <c r="AH28" s="2">
        <v>43266.0</v>
      </c>
      <c r="AI28" s="1" t="s">
        <v>57</v>
      </c>
      <c r="AJ28" s="1">
        <v>21.0</v>
      </c>
      <c r="AK28" s="1">
        <v>25.0</v>
      </c>
      <c r="AL28" s="1">
        <v>5.0</v>
      </c>
      <c r="AM28" s="1" t="s">
        <v>58</v>
      </c>
    </row>
    <row r="29" ht="15.75" customHeight="1">
      <c r="A29" s="1" t="s">
        <v>279</v>
      </c>
      <c r="B29" s="1" t="s">
        <v>41</v>
      </c>
      <c r="C29" s="1" t="s">
        <v>280</v>
      </c>
      <c r="D29" s="2">
        <v>43266.0</v>
      </c>
      <c r="E29" s="1" t="s">
        <v>281</v>
      </c>
      <c r="F29" s="1" t="s">
        <v>282</v>
      </c>
      <c r="G29" s="1" t="s">
        <v>283</v>
      </c>
      <c r="H29" s="1" t="s">
        <v>284</v>
      </c>
      <c r="L29" s="1" t="s">
        <v>285</v>
      </c>
      <c r="M29" s="1" t="s">
        <v>286</v>
      </c>
      <c r="N29" s="1">
        <v>3805.0</v>
      </c>
      <c r="O29" s="1" t="s">
        <v>49</v>
      </c>
      <c r="P29" s="1">
        <v>4.66900935E8</v>
      </c>
      <c r="Q29" s="1" t="str">
        <f>"466900935"</f>
        <v>466900935</v>
      </c>
      <c r="S29" s="1" t="str">
        <f t="shared" si="6"/>
        <v/>
      </c>
      <c r="T29" s="1">
        <v>4.12529748E8</v>
      </c>
      <c r="U29" s="1" t="str">
        <f>"0412529748"</f>
        <v>0412529748</v>
      </c>
      <c r="V29" s="1" t="s">
        <v>287</v>
      </c>
      <c r="W29" s="1" t="s">
        <v>51</v>
      </c>
      <c r="Y29" s="1" t="s">
        <v>115</v>
      </c>
      <c r="Z29" s="1" t="s">
        <v>288</v>
      </c>
      <c r="AB29" s="1" t="s">
        <v>54</v>
      </c>
      <c r="AC29" s="1" t="s">
        <v>55</v>
      </c>
      <c r="AD29" s="1">
        <v>1.0</v>
      </c>
      <c r="AE29" s="1" t="s">
        <v>56</v>
      </c>
      <c r="AF29" s="1">
        <v>1.0</v>
      </c>
      <c r="AG29" s="1" t="s">
        <v>280</v>
      </c>
      <c r="AH29" s="2">
        <v>43266.0</v>
      </c>
      <c r="AI29" s="1" t="s">
        <v>72</v>
      </c>
      <c r="AJ29" s="1">
        <v>14.0</v>
      </c>
      <c r="AK29" s="1">
        <v>15.0</v>
      </c>
      <c r="AL29" s="1">
        <v>2.0</v>
      </c>
      <c r="AM29" s="1" t="s">
        <v>58</v>
      </c>
    </row>
    <row r="30" ht="15.75" customHeight="1">
      <c r="A30" s="1" t="s">
        <v>289</v>
      </c>
      <c r="B30" s="1" t="s">
        <v>41</v>
      </c>
      <c r="C30" s="1" t="s">
        <v>290</v>
      </c>
      <c r="D30" s="2">
        <v>43266.0</v>
      </c>
      <c r="E30" s="1" t="s">
        <v>291</v>
      </c>
      <c r="F30" s="1" t="s">
        <v>292</v>
      </c>
      <c r="G30" s="1" t="s">
        <v>293</v>
      </c>
      <c r="H30" s="1" t="s">
        <v>294</v>
      </c>
      <c r="L30" s="1" t="s">
        <v>295</v>
      </c>
      <c r="M30" s="1" t="s">
        <v>296</v>
      </c>
      <c r="N30" s="1">
        <v>3053.0</v>
      </c>
      <c r="O30" s="1" t="s">
        <v>49</v>
      </c>
      <c r="P30" s="1">
        <v>6.141024604E9</v>
      </c>
      <c r="Q30" s="1" t="str">
        <f t="shared" ref="Q30:Q31" si="12">"6141024604"</f>
        <v>6141024604</v>
      </c>
      <c r="R30" s="1">
        <v>7.0</v>
      </c>
      <c r="S30" s="1" t="str">
        <f t="shared" ref="S30:S31" si="13">"7"</f>
        <v>7</v>
      </c>
      <c r="T30" s="1">
        <v>6.1410246047E10</v>
      </c>
      <c r="U30" s="1" t="str">
        <f t="shared" ref="U30:U31" si="14">"61410246047"</f>
        <v>61410246047</v>
      </c>
      <c r="V30" s="1" t="s">
        <v>297</v>
      </c>
      <c r="W30" s="1" t="s">
        <v>51</v>
      </c>
      <c r="Y30" s="1" t="s">
        <v>115</v>
      </c>
      <c r="Z30" s="1" t="s">
        <v>298</v>
      </c>
      <c r="AB30" s="1" t="s">
        <v>54</v>
      </c>
      <c r="AC30" s="1" t="s">
        <v>55</v>
      </c>
      <c r="AD30" s="1">
        <v>4.0</v>
      </c>
      <c r="AE30" s="1" t="s">
        <v>180</v>
      </c>
      <c r="AF30" s="1">
        <v>4.0</v>
      </c>
      <c r="AG30" s="1" t="s">
        <v>290</v>
      </c>
      <c r="AH30" s="2">
        <v>43266.0</v>
      </c>
      <c r="AI30" s="1" t="s">
        <v>57</v>
      </c>
      <c r="AJ30" s="1">
        <v>28.0</v>
      </c>
      <c r="AK30" s="1">
        <v>28.0</v>
      </c>
      <c r="AL30" s="1">
        <v>1.0</v>
      </c>
      <c r="AM30" s="1" t="s">
        <v>58</v>
      </c>
    </row>
    <row r="31" ht="15.75" customHeight="1">
      <c r="A31" s="1" t="s">
        <v>299</v>
      </c>
      <c r="B31" s="1" t="s">
        <v>41</v>
      </c>
      <c r="C31" s="1" t="s">
        <v>300</v>
      </c>
      <c r="D31" s="2">
        <v>43266.0</v>
      </c>
      <c r="E31" s="1" t="s">
        <v>291</v>
      </c>
      <c r="F31" s="1" t="s">
        <v>292</v>
      </c>
      <c r="G31" s="1" t="s">
        <v>293</v>
      </c>
      <c r="H31" s="1" t="s">
        <v>294</v>
      </c>
      <c r="L31" s="1" t="s">
        <v>295</v>
      </c>
      <c r="M31" s="1" t="s">
        <v>296</v>
      </c>
      <c r="N31" s="1">
        <v>3053.0</v>
      </c>
      <c r="O31" s="1" t="s">
        <v>49</v>
      </c>
      <c r="P31" s="1">
        <v>6.141024604E9</v>
      </c>
      <c r="Q31" s="1" t="str">
        <f t="shared" si="12"/>
        <v>6141024604</v>
      </c>
      <c r="R31" s="1">
        <v>7.0</v>
      </c>
      <c r="S31" s="1" t="str">
        <f t="shared" si="13"/>
        <v>7</v>
      </c>
      <c r="T31" s="1">
        <v>6.1410246047E10</v>
      </c>
      <c r="U31" s="1" t="str">
        <f t="shared" si="14"/>
        <v>61410246047</v>
      </c>
      <c r="V31" s="1" t="s">
        <v>297</v>
      </c>
      <c r="W31" s="1" t="s">
        <v>51</v>
      </c>
      <c r="Y31" s="1" t="s">
        <v>115</v>
      </c>
      <c r="Z31" s="1" t="s">
        <v>298</v>
      </c>
      <c r="AB31" s="1" t="s">
        <v>54</v>
      </c>
      <c r="AC31" s="1" t="s">
        <v>55</v>
      </c>
      <c r="AD31" s="1">
        <v>4.0</v>
      </c>
      <c r="AE31" s="1" t="s">
        <v>180</v>
      </c>
      <c r="AF31" s="1">
        <v>4.0</v>
      </c>
      <c r="AG31" s="1" t="s">
        <v>300</v>
      </c>
      <c r="AH31" s="2">
        <v>43266.0</v>
      </c>
      <c r="AI31" s="1" t="s">
        <v>57</v>
      </c>
      <c r="AJ31" s="1">
        <v>29.0</v>
      </c>
      <c r="AK31" s="1">
        <v>29.0</v>
      </c>
      <c r="AL31" s="1">
        <v>1.0</v>
      </c>
      <c r="AM31" s="1" t="s">
        <v>58</v>
      </c>
    </row>
    <row r="32" ht="15.75" customHeight="1">
      <c r="A32" s="1" t="s">
        <v>301</v>
      </c>
      <c r="B32" s="1" t="s">
        <v>41</v>
      </c>
      <c r="C32" s="1" t="s">
        <v>302</v>
      </c>
      <c r="D32" s="2">
        <v>43266.0</v>
      </c>
      <c r="E32" s="1" t="s">
        <v>303</v>
      </c>
      <c r="F32" s="1" t="s">
        <v>304</v>
      </c>
      <c r="G32" s="1" t="s">
        <v>305</v>
      </c>
      <c r="H32" s="1" t="s">
        <v>306</v>
      </c>
      <c r="L32" s="1" t="s">
        <v>307</v>
      </c>
      <c r="M32" s="1" t="s">
        <v>308</v>
      </c>
      <c r="N32" s="1">
        <v>3165.0</v>
      </c>
      <c r="O32" s="1" t="s">
        <v>49</v>
      </c>
      <c r="P32" s="1">
        <v>4.05914233E8</v>
      </c>
      <c r="Q32" s="1" t="str">
        <f>"405914233"</f>
        <v>405914233</v>
      </c>
      <c r="S32" s="1" t="str">
        <f t="shared" ref="S32:S49" si="15">""</f>
        <v/>
      </c>
      <c r="T32" s="1">
        <v>4.05914233E8</v>
      </c>
      <c r="U32" s="1" t="str">
        <f>"0405914233"</f>
        <v>0405914233</v>
      </c>
      <c r="V32" s="1" t="s">
        <v>309</v>
      </c>
      <c r="W32" s="1" t="s">
        <v>51</v>
      </c>
      <c r="Y32" s="1" t="s">
        <v>115</v>
      </c>
      <c r="Z32" s="1" t="s">
        <v>310</v>
      </c>
      <c r="AB32" s="1" t="s">
        <v>54</v>
      </c>
      <c r="AC32" s="1" t="s">
        <v>55</v>
      </c>
      <c r="AD32" s="1">
        <v>1.0</v>
      </c>
      <c r="AE32" s="1" t="s">
        <v>56</v>
      </c>
      <c r="AF32" s="1">
        <v>1.0</v>
      </c>
      <c r="AG32" s="1" t="s">
        <v>302</v>
      </c>
      <c r="AH32" s="2">
        <v>43266.0</v>
      </c>
      <c r="AI32" s="1" t="s">
        <v>85</v>
      </c>
      <c r="AJ32" s="1">
        <v>14.0</v>
      </c>
      <c r="AK32" s="1">
        <v>15.0</v>
      </c>
      <c r="AL32" s="1">
        <v>2.0</v>
      </c>
      <c r="AM32" s="1" t="s">
        <v>58</v>
      </c>
    </row>
    <row r="33" ht="15.75" customHeight="1">
      <c r="A33" s="1" t="s">
        <v>311</v>
      </c>
      <c r="B33" s="1" t="s">
        <v>41</v>
      </c>
      <c r="C33" s="1" t="s">
        <v>312</v>
      </c>
      <c r="D33" s="2">
        <v>43267.0</v>
      </c>
      <c r="E33" s="1" t="s">
        <v>313</v>
      </c>
      <c r="F33" s="1" t="s">
        <v>314</v>
      </c>
      <c r="G33" s="1" t="s">
        <v>315</v>
      </c>
      <c r="H33" s="1" t="s">
        <v>316</v>
      </c>
      <c r="L33" s="1" t="s">
        <v>317</v>
      </c>
      <c r="M33" s="1" t="s">
        <v>318</v>
      </c>
      <c r="N33" s="1">
        <v>3220.0</v>
      </c>
      <c r="O33" s="1" t="s">
        <v>49</v>
      </c>
      <c r="P33" s="1">
        <v>4.20596962E8</v>
      </c>
      <c r="Q33" s="1" t="str">
        <f>"420596962"</f>
        <v>420596962</v>
      </c>
      <c r="S33" s="1" t="str">
        <f t="shared" si="15"/>
        <v/>
      </c>
      <c r="U33" s="1" t="str">
        <f>""</f>
        <v/>
      </c>
      <c r="V33" s="1" t="s">
        <v>319</v>
      </c>
      <c r="W33" s="1" t="s">
        <v>51</v>
      </c>
      <c r="Y33" s="1" t="s">
        <v>115</v>
      </c>
      <c r="Z33" s="1" t="s">
        <v>320</v>
      </c>
      <c r="AB33" s="1" t="s">
        <v>54</v>
      </c>
      <c r="AC33" s="1" t="s">
        <v>55</v>
      </c>
      <c r="AD33" s="1">
        <v>2.0</v>
      </c>
      <c r="AE33" s="1" t="s">
        <v>56</v>
      </c>
      <c r="AF33" s="1">
        <v>2.0</v>
      </c>
      <c r="AG33" s="1" t="s">
        <v>312</v>
      </c>
      <c r="AH33" s="2">
        <v>43267.0</v>
      </c>
      <c r="AI33" s="1" t="s">
        <v>321</v>
      </c>
      <c r="AJ33" s="1">
        <v>28.0</v>
      </c>
      <c r="AK33" s="1">
        <v>29.0</v>
      </c>
      <c r="AL33" s="1">
        <v>2.0</v>
      </c>
      <c r="AM33" s="1" t="s">
        <v>58</v>
      </c>
    </row>
    <row r="34" ht="15.75" customHeight="1">
      <c r="A34" s="1" t="s">
        <v>322</v>
      </c>
      <c r="B34" s="1" t="s">
        <v>41</v>
      </c>
      <c r="C34" s="1" t="s">
        <v>323</v>
      </c>
      <c r="D34" s="2">
        <v>43267.0</v>
      </c>
      <c r="E34" s="1" t="s">
        <v>324</v>
      </c>
      <c r="F34" s="1" t="s">
        <v>325</v>
      </c>
      <c r="G34" s="1" t="s">
        <v>326</v>
      </c>
      <c r="H34" s="1" t="s">
        <v>327</v>
      </c>
      <c r="L34" s="1" t="s">
        <v>328</v>
      </c>
      <c r="M34" s="1" t="s">
        <v>329</v>
      </c>
      <c r="N34" s="1">
        <v>3150.0</v>
      </c>
      <c r="O34" s="1" t="s">
        <v>49</v>
      </c>
      <c r="P34" s="1">
        <v>4.27903867E8</v>
      </c>
      <c r="Q34" s="1" t="str">
        <f>"427903867"</f>
        <v>427903867</v>
      </c>
      <c r="S34" s="1" t="str">
        <f t="shared" si="15"/>
        <v/>
      </c>
      <c r="T34" s="1">
        <v>4.27903867E8</v>
      </c>
      <c r="U34" s="1" t="str">
        <f>"0427903867"</f>
        <v>0427903867</v>
      </c>
      <c r="V34" s="1" t="s">
        <v>330</v>
      </c>
      <c r="W34" s="1" t="s">
        <v>51</v>
      </c>
      <c r="Y34" s="1" t="s">
        <v>115</v>
      </c>
      <c r="Z34" s="1" t="s">
        <v>331</v>
      </c>
      <c r="AB34" s="1" t="s">
        <v>54</v>
      </c>
      <c r="AC34" s="1" t="s">
        <v>55</v>
      </c>
      <c r="AD34" s="1">
        <v>2.0</v>
      </c>
      <c r="AE34" s="1" t="s">
        <v>56</v>
      </c>
      <c r="AF34" s="1">
        <v>2.0</v>
      </c>
      <c r="AG34" s="1" t="s">
        <v>323</v>
      </c>
      <c r="AH34" s="2">
        <v>43267.0</v>
      </c>
      <c r="AI34" s="1" t="s">
        <v>321</v>
      </c>
      <c r="AJ34" s="1">
        <v>20.0</v>
      </c>
      <c r="AK34" s="1">
        <v>23.0</v>
      </c>
      <c r="AL34" s="1">
        <v>4.0</v>
      </c>
      <c r="AM34" s="1" t="s">
        <v>58</v>
      </c>
    </row>
    <row r="35" ht="15.75" customHeight="1">
      <c r="A35" s="1" t="s">
        <v>332</v>
      </c>
      <c r="B35" s="1" t="s">
        <v>41</v>
      </c>
      <c r="C35" s="1" t="s">
        <v>333</v>
      </c>
      <c r="D35" s="2">
        <v>43267.0</v>
      </c>
      <c r="E35" s="1" t="s">
        <v>334</v>
      </c>
      <c r="F35" s="1" t="s">
        <v>335</v>
      </c>
      <c r="G35" s="1" t="s">
        <v>336</v>
      </c>
      <c r="H35" s="1" t="s">
        <v>337</v>
      </c>
      <c r="L35" s="1" t="s">
        <v>338</v>
      </c>
      <c r="M35" s="1" t="s">
        <v>339</v>
      </c>
      <c r="N35" s="1">
        <v>3075.0</v>
      </c>
      <c r="O35" s="1" t="s">
        <v>49</v>
      </c>
      <c r="P35" s="1">
        <v>4.09423412E8</v>
      </c>
      <c r="Q35" s="1" t="str">
        <f>"409423412"</f>
        <v>409423412</v>
      </c>
      <c r="S35" s="1" t="str">
        <f t="shared" si="15"/>
        <v/>
      </c>
      <c r="U35" s="1" t="str">
        <f>""</f>
        <v/>
      </c>
      <c r="V35" s="1" t="s">
        <v>340</v>
      </c>
      <c r="W35" s="1" t="s">
        <v>70</v>
      </c>
      <c r="Y35" s="1" t="s">
        <v>52</v>
      </c>
      <c r="Z35" s="1" t="s">
        <v>341</v>
      </c>
      <c r="AB35" s="1" t="s">
        <v>54</v>
      </c>
      <c r="AC35" s="1" t="s">
        <v>55</v>
      </c>
      <c r="AD35" s="1">
        <v>4.0</v>
      </c>
      <c r="AE35" s="1" t="s">
        <v>180</v>
      </c>
      <c r="AF35" s="1">
        <v>4.0</v>
      </c>
      <c r="AG35" s="1" t="s">
        <v>333</v>
      </c>
      <c r="AH35" s="2">
        <v>43267.0</v>
      </c>
      <c r="AI35" s="1" t="s">
        <v>72</v>
      </c>
      <c r="AJ35" s="1">
        <v>17.0</v>
      </c>
      <c r="AK35" s="1">
        <v>21.0</v>
      </c>
      <c r="AL35" s="1">
        <v>5.0</v>
      </c>
      <c r="AM35" s="1" t="s">
        <v>58</v>
      </c>
    </row>
    <row r="36" ht="15.75" customHeight="1">
      <c r="A36" s="1" t="s">
        <v>342</v>
      </c>
      <c r="B36" s="1" t="s">
        <v>41</v>
      </c>
      <c r="C36" s="1" t="s">
        <v>343</v>
      </c>
      <c r="D36" s="2">
        <v>43267.0</v>
      </c>
      <c r="E36" s="1" t="s">
        <v>344</v>
      </c>
      <c r="F36" s="1" t="s">
        <v>345</v>
      </c>
      <c r="G36" s="1" t="s">
        <v>346</v>
      </c>
      <c r="H36" s="1" t="s">
        <v>347</v>
      </c>
      <c r="L36" s="1" t="s">
        <v>348</v>
      </c>
      <c r="M36" s="1" t="s">
        <v>276</v>
      </c>
      <c r="N36" s="1">
        <v>3030.0</v>
      </c>
      <c r="O36" s="1" t="s">
        <v>49</v>
      </c>
      <c r="P36" s="1">
        <v>4.23111923E8</v>
      </c>
      <c r="Q36" s="1" t="str">
        <f>"423111923"</f>
        <v>423111923</v>
      </c>
      <c r="S36" s="1" t="str">
        <f t="shared" si="15"/>
        <v/>
      </c>
      <c r="T36" s="1">
        <v>4.23111923E8</v>
      </c>
      <c r="U36" s="1" t="str">
        <f>"0423111923"</f>
        <v>0423111923</v>
      </c>
      <c r="V36" s="1" t="s">
        <v>349</v>
      </c>
      <c r="W36" s="1" t="s">
        <v>51</v>
      </c>
      <c r="Y36" s="1" t="s">
        <v>52</v>
      </c>
      <c r="Z36" s="1" t="s">
        <v>350</v>
      </c>
      <c r="AB36" s="1" t="s">
        <v>54</v>
      </c>
      <c r="AC36" s="1" t="s">
        <v>55</v>
      </c>
      <c r="AD36" s="1">
        <v>3.0</v>
      </c>
      <c r="AE36" s="1" t="s">
        <v>56</v>
      </c>
      <c r="AF36" s="1">
        <v>3.0</v>
      </c>
      <c r="AG36" s="1" t="s">
        <v>343</v>
      </c>
      <c r="AH36" s="2">
        <v>43267.0</v>
      </c>
      <c r="AI36" s="1" t="s">
        <v>96</v>
      </c>
      <c r="AJ36" s="1">
        <v>24.0</v>
      </c>
      <c r="AK36" s="1">
        <v>25.0</v>
      </c>
      <c r="AL36" s="1">
        <v>2.0</v>
      </c>
      <c r="AM36" s="1" t="s">
        <v>58</v>
      </c>
    </row>
    <row r="37" ht="15.75" customHeight="1">
      <c r="A37" s="1" t="s">
        <v>351</v>
      </c>
      <c r="B37" s="1" t="s">
        <v>41</v>
      </c>
      <c r="C37" s="1" t="s">
        <v>352</v>
      </c>
      <c r="D37" s="2">
        <v>43267.0</v>
      </c>
      <c r="E37" s="1" t="s">
        <v>353</v>
      </c>
      <c r="F37" s="1" t="s">
        <v>354</v>
      </c>
      <c r="G37" s="1" t="s">
        <v>355</v>
      </c>
      <c r="H37" s="1" t="s">
        <v>356</v>
      </c>
      <c r="L37" s="1" t="s">
        <v>357</v>
      </c>
      <c r="M37" s="1" t="s">
        <v>358</v>
      </c>
      <c r="N37" s="1">
        <v>3810.0</v>
      </c>
      <c r="O37" s="1" t="s">
        <v>49</v>
      </c>
      <c r="P37" s="1">
        <v>4.90479847E8</v>
      </c>
      <c r="Q37" s="1" t="str">
        <f>"490479847"</f>
        <v>490479847</v>
      </c>
      <c r="S37" s="1" t="str">
        <f t="shared" si="15"/>
        <v/>
      </c>
      <c r="T37" s="1">
        <v>6.1490479847E10</v>
      </c>
      <c r="U37" s="1" t="str">
        <f>"61490479847"</f>
        <v>61490479847</v>
      </c>
      <c r="V37" s="1" t="s">
        <v>359</v>
      </c>
      <c r="W37" s="1" t="s">
        <v>51</v>
      </c>
      <c r="Y37" s="1" t="s">
        <v>115</v>
      </c>
      <c r="Z37" s="1" t="s">
        <v>360</v>
      </c>
      <c r="AB37" s="1" t="s">
        <v>54</v>
      </c>
      <c r="AC37" s="1" t="s">
        <v>55</v>
      </c>
      <c r="AD37" s="1">
        <v>1.0</v>
      </c>
      <c r="AE37" s="1" t="s">
        <v>56</v>
      </c>
      <c r="AF37" s="1">
        <v>1.0</v>
      </c>
      <c r="AG37" s="1" t="s">
        <v>352</v>
      </c>
      <c r="AH37" s="2">
        <v>43267.0</v>
      </c>
      <c r="AI37" s="1" t="s">
        <v>57</v>
      </c>
      <c r="AJ37" s="1">
        <v>28.0</v>
      </c>
      <c r="AK37" s="1">
        <v>29.0</v>
      </c>
      <c r="AL37" s="1">
        <v>2.0</v>
      </c>
      <c r="AM37" s="1" t="s">
        <v>58</v>
      </c>
    </row>
    <row r="38" ht="15.75" customHeight="1">
      <c r="A38" s="1" t="s">
        <v>361</v>
      </c>
      <c r="B38" s="1" t="s">
        <v>41</v>
      </c>
      <c r="C38" s="1" t="s">
        <v>362</v>
      </c>
      <c r="D38" s="2">
        <v>43267.0</v>
      </c>
      <c r="E38" s="1" t="s">
        <v>363</v>
      </c>
      <c r="F38" s="1" t="s">
        <v>364</v>
      </c>
      <c r="G38" s="1" t="s">
        <v>365</v>
      </c>
      <c r="H38" s="1" t="s">
        <v>366</v>
      </c>
      <c r="L38" s="1" t="s">
        <v>367</v>
      </c>
      <c r="M38" s="1" t="s">
        <v>368</v>
      </c>
      <c r="N38" s="1">
        <v>3109.0</v>
      </c>
      <c r="O38" s="1" t="s">
        <v>49</v>
      </c>
      <c r="P38" s="1">
        <v>4.13180412E8</v>
      </c>
      <c r="Q38" s="1" t="str">
        <f t="shared" ref="Q38:Q40" si="16">"413180412"</f>
        <v>413180412</v>
      </c>
      <c r="S38" s="1" t="str">
        <f t="shared" si="15"/>
        <v/>
      </c>
      <c r="U38" s="1" t="str">
        <f t="shared" ref="U38:U42" si="17">""</f>
        <v/>
      </c>
      <c r="V38" s="1" t="s">
        <v>369</v>
      </c>
      <c r="W38" s="1" t="s">
        <v>70</v>
      </c>
      <c r="Y38" s="1" t="s">
        <v>52</v>
      </c>
      <c r="Z38" s="1" t="s">
        <v>370</v>
      </c>
      <c r="AB38" s="1" t="s">
        <v>54</v>
      </c>
      <c r="AC38" s="1" t="s">
        <v>55</v>
      </c>
      <c r="AD38" s="1">
        <v>1.0</v>
      </c>
      <c r="AE38" s="1" t="s">
        <v>56</v>
      </c>
      <c r="AF38" s="1">
        <v>1.0</v>
      </c>
      <c r="AG38" s="1" t="s">
        <v>362</v>
      </c>
      <c r="AH38" s="2">
        <v>43267.0</v>
      </c>
      <c r="AI38" s="1" t="s">
        <v>72</v>
      </c>
      <c r="AJ38" s="1">
        <v>27.0</v>
      </c>
      <c r="AK38" s="1">
        <v>29.0</v>
      </c>
      <c r="AL38" s="1">
        <v>3.0</v>
      </c>
      <c r="AM38" s="1" t="s">
        <v>58</v>
      </c>
    </row>
    <row r="39" ht="15.75" customHeight="1">
      <c r="A39" s="1" t="s">
        <v>361</v>
      </c>
      <c r="B39" s="1" t="s">
        <v>41</v>
      </c>
      <c r="C39" s="1" t="s">
        <v>362</v>
      </c>
      <c r="D39" s="2">
        <v>43267.0</v>
      </c>
      <c r="E39" s="1" t="s">
        <v>363</v>
      </c>
      <c r="F39" s="1" t="s">
        <v>364</v>
      </c>
      <c r="G39" s="1" t="s">
        <v>365</v>
      </c>
      <c r="H39" s="1" t="s">
        <v>366</v>
      </c>
      <c r="L39" s="1" t="s">
        <v>367</v>
      </c>
      <c r="M39" s="1" t="s">
        <v>368</v>
      </c>
      <c r="N39" s="1">
        <v>3109.0</v>
      </c>
      <c r="O39" s="1" t="s">
        <v>49</v>
      </c>
      <c r="P39" s="1">
        <v>4.13180412E8</v>
      </c>
      <c r="Q39" s="1" t="str">
        <f t="shared" si="16"/>
        <v>413180412</v>
      </c>
      <c r="S39" s="1" t="str">
        <f t="shared" si="15"/>
        <v/>
      </c>
      <c r="U39" s="1" t="str">
        <f t="shared" si="17"/>
        <v/>
      </c>
      <c r="V39" s="1" t="s">
        <v>369</v>
      </c>
      <c r="W39" s="1" t="s">
        <v>70</v>
      </c>
      <c r="Y39" s="1" t="s">
        <v>52</v>
      </c>
      <c r="Z39" s="1" t="s">
        <v>370</v>
      </c>
      <c r="AB39" s="1" t="s">
        <v>54</v>
      </c>
      <c r="AC39" s="1" t="s">
        <v>55</v>
      </c>
      <c r="AD39" s="1">
        <v>1.0</v>
      </c>
      <c r="AE39" s="1" t="s">
        <v>56</v>
      </c>
      <c r="AF39" s="1">
        <v>1.0</v>
      </c>
      <c r="AG39" s="1" t="s">
        <v>362</v>
      </c>
      <c r="AH39" s="2">
        <v>43267.0</v>
      </c>
      <c r="AI39" s="1" t="s">
        <v>85</v>
      </c>
      <c r="AJ39" s="1">
        <v>27.0</v>
      </c>
      <c r="AK39" s="1">
        <v>29.0</v>
      </c>
      <c r="AL39" s="1">
        <v>3.0</v>
      </c>
      <c r="AM39" s="1" t="s">
        <v>58</v>
      </c>
    </row>
    <row r="40" ht="15.75" customHeight="1">
      <c r="A40" s="1" t="s">
        <v>361</v>
      </c>
      <c r="B40" s="1" t="s">
        <v>41</v>
      </c>
      <c r="C40" s="1" t="s">
        <v>362</v>
      </c>
      <c r="D40" s="2">
        <v>43267.0</v>
      </c>
      <c r="E40" s="1" t="s">
        <v>363</v>
      </c>
      <c r="F40" s="1" t="s">
        <v>364</v>
      </c>
      <c r="G40" s="1" t="s">
        <v>365</v>
      </c>
      <c r="H40" s="1" t="s">
        <v>366</v>
      </c>
      <c r="L40" s="1" t="s">
        <v>367</v>
      </c>
      <c r="M40" s="1" t="s">
        <v>368</v>
      </c>
      <c r="N40" s="1">
        <v>3109.0</v>
      </c>
      <c r="O40" s="1" t="s">
        <v>49</v>
      </c>
      <c r="P40" s="1">
        <v>4.13180412E8</v>
      </c>
      <c r="Q40" s="1" t="str">
        <f t="shared" si="16"/>
        <v>413180412</v>
      </c>
      <c r="S40" s="1" t="str">
        <f t="shared" si="15"/>
        <v/>
      </c>
      <c r="U40" s="1" t="str">
        <f t="shared" si="17"/>
        <v/>
      </c>
      <c r="V40" s="1" t="s">
        <v>369</v>
      </c>
      <c r="W40" s="1" t="s">
        <v>70</v>
      </c>
      <c r="Y40" s="1" t="s">
        <v>52</v>
      </c>
      <c r="Z40" s="1" t="s">
        <v>370</v>
      </c>
      <c r="AB40" s="1" t="s">
        <v>54</v>
      </c>
      <c r="AC40" s="1" t="s">
        <v>55</v>
      </c>
      <c r="AD40" s="1">
        <v>2.0</v>
      </c>
      <c r="AE40" s="1" t="s">
        <v>56</v>
      </c>
      <c r="AF40" s="1">
        <v>2.0</v>
      </c>
      <c r="AG40" s="1" t="s">
        <v>362</v>
      </c>
      <c r="AH40" s="2">
        <v>43267.0</v>
      </c>
      <c r="AI40" s="1" t="s">
        <v>85</v>
      </c>
      <c r="AJ40" s="1">
        <v>32.0</v>
      </c>
      <c r="AK40" s="1">
        <v>32.0</v>
      </c>
      <c r="AL40" s="1">
        <v>1.0</v>
      </c>
      <c r="AM40" s="1" t="s">
        <v>58</v>
      </c>
    </row>
    <row r="41" ht="15.75" customHeight="1">
      <c r="A41" s="1" t="s">
        <v>371</v>
      </c>
      <c r="B41" s="1" t="s">
        <v>41</v>
      </c>
      <c r="C41" s="1" t="s">
        <v>372</v>
      </c>
      <c r="D41" s="2">
        <v>43267.0</v>
      </c>
      <c r="E41" s="1" t="s">
        <v>373</v>
      </c>
      <c r="F41" s="1" t="s">
        <v>374</v>
      </c>
      <c r="G41" s="1" t="s">
        <v>375</v>
      </c>
      <c r="H41" s="1" t="s">
        <v>376</v>
      </c>
      <c r="L41" s="1" t="s">
        <v>377</v>
      </c>
      <c r="M41" s="1" t="s">
        <v>378</v>
      </c>
      <c r="N41" s="1">
        <v>3101.0</v>
      </c>
      <c r="O41" s="1" t="s">
        <v>49</v>
      </c>
      <c r="P41" s="1">
        <v>4.23786561E8</v>
      </c>
      <c r="Q41" s="1" t="str">
        <f>"423786561"</f>
        <v>423786561</v>
      </c>
      <c r="S41" s="1" t="str">
        <f t="shared" si="15"/>
        <v/>
      </c>
      <c r="U41" s="1" t="str">
        <f t="shared" si="17"/>
        <v/>
      </c>
      <c r="V41" s="1" t="s">
        <v>379</v>
      </c>
      <c r="W41" s="1" t="s">
        <v>70</v>
      </c>
      <c r="Y41" s="1" t="s">
        <v>115</v>
      </c>
      <c r="Z41" s="1" t="s">
        <v>380</v>
      </c>
      <c r="AB41" s="1" t="s">
        <v>54</v>
      </c>
      <c r="AC41" s="1" t="s">
        <v>55</v>
      </c>
      <c r="AD41" s="1">
        <v>4.0</v>
      </c>
      <c r="AE41" s="1" t="s">
        <v>180</v>
      </c>
      <c r="AF41" s="1">
        <v>4.0</v>
      </c>
      <c r="AG41" s="1" t="s">
        <v>372</v>
      </c>
      <c r="AH41" s="2">
        <v>43267.0</v>
      </c>
      <c r="AI41" s="1" t="s">
        <v>57</v>
      </c>
      <c r="AJ41" s="1">
        <v>8.0</v>
      </c>
      <c r="AK41" s="1">
        <v>11.0</v>
      </c>
      <c r="AL41" s="1">
        <v>4.0</v>
      </c>
      <c r="AM41" s="1" t="s">
        <v>58</v>
      </c>
    </row>
    <row r="42" ht="15.75" customHeight="1">
      <c r="A42" s="1" t="s">
        <v>381</v>
      </c>
      <c r="B42" s="1" t="s">
        <v>41</v>
      </c>
      <c r="C42" s="1" t="s">
        <v>382</v>
      </c>
      <c r="D42" s="2">
        <v>43267.0</v>
      </c>
      <c r="E42" s="1" t="s">
        <v>383</v>
      </c>
      <c r="F42" s="1" t="s">
        <v>384</v>
      </c>
      <c r="G42" s="1" t="s">
        <v>385</v>
      </c>
      <c r="H42" s="1" t="s">
        <v>386</v>
      </c>
      <c r="L42" s="1" t="s">
        <v>387</v>
      </c>
      <c r="M42" s="1" t="s">
        <v>388</v>
      </c>
      <c r="N42" s="1">
        <v>3111.0</v>
      </c>
      <c r="O42" s="1" t="s">
        <v>49</v>
      </c>
      <c r="P42" s="1">
        <v>4.28413696E8</v>
      </c>
      <c r="Q42" s="1" t="str">
        <f>"428413696"</f>
        <v>428413696</v>
      </c>
      <c r="S42" s="1" t="str">
        <f t="shared" si="15"/>
        <v/>
      </c>
      <c r="U42" s="1" t="str">
        <f t="shared" si="17"/>
        <v/>
      </c>
      <c r="V42" s="1" t="s">
        <v>389</v>
      </c>
      <c r="W42" s="1" t="s">
        <v>51</v>
      </c>
      <c r="Y42" s="1" t="s">
        <v>52</v>
      </c>
      <c r="Z42" s="1" t="s">
        <v>390</v>
      </c>
      <c r="AB42" s="1" t="s">
        <v>54</v>
      </c>
      <c r="AC42" s="1" t="s">
        <v>55</v>
      </c>
      <c r="AD42" s="1">
        <v>2.0</v>
      </c>
      <c r="AE42" s="1" t="s">
        <v>56</v>
      </c>
      <c r="AF42" s="1">
        <v>2.0</v>
      </c>
      <c r="AG42" s="1" t="s">
        <v>382</v>
      </c>
      <c r="AH42" s="2">
        <v>43267.0</v>
      </c>
      <c r="AI42" s="1" t="s">
        <v>321</v>
      </c>
      <c r="AJ42" s="1">
        <v>24.0</v>
      </c>
      <c r="AK42" s="1">
        <v>25.0</v>
      </c>
      <c r="AL42" s="1">
        <v>2.0</v>
      </c>
      <c r="AM42" s="1" t="s">
        <v>58</v>
      </c>
    </row>
    <row r="43" ht="15.75" customHeight="1">
      <c r="A43" s="1" t="s">
        <v>391</v>
      </c>
      <c r="B43" s="1" t="s">
        <v>41</v>
      </c>
      <c r="C43" s="1" t="s">
        <v>392</v>
      </c>
      <c r="D43" s="2">
        <v>43267.0</v>
      </c>
      <c r="E43" s="1" t="s">
        <v>393</v>
      </c>
      <c r="F43" s="1" t="s">
        <v>394</v>
      </c>
      <c r="G43" s="1" t="s">
        <v>395</v>
      </c>
      <c r="H43" s="1" t="s">
        <v>396</v>
      </c>
      <c r="L43" s="1" t="s">
        <v>397</v>
      </c>
      <c r="M43" s="1" t="s">
        <v>398</v>
      </c>
      <c r="N43" s="1">
        <v>3107.0</v>
      </c>
      <c r="O43" s="1" t="s">
        <v>49</v>
      </c>
      <c r="P43" s="1">
        <v>4.12238594E8</v>
      </c>
      <c r="Q43" s="1" t="str">
        <f>"412238594"</f>
        <v>412238594</v>
      </c>
      <c r="S43" s="1" t="str">
        <f t="shared" si="15"/>
        <v/>
      </c>
      <c r="T43" s="1">
        <v>4.12238594E8</v>
      </c>
      <c r="U43" s="1" t="str">
        <f>"0412238594"</f>
        <v>0412238594</v>
      </c>
      <c r="V43" s="1" t="s">
        <v>399</v>
      </c>
      <c r="W43" s="1" t="s">
        <v>51</v>
      </c>
      <c r="Y43" s="1" t="s">
        <v>115</v>
      </c>
      <c r="Z43" s="1" t="s">
        <v>400</v>
      </c>
      <c r="AB43" s="1" t="s">
        <v>54</v>
      </c>
      <c r="AC43" s="1" t="s">
        <v>55</v>
      </c>
      <c r="AD43" s="1">
        <v>3.0</v>
      </c>
      <c r="AE43" s="1" t="s">
        <v>56</v>
      </c>
      <c r="AF43" s="1">
        <v>3.0</v>
      </c>
      <c r="AG43" s="1" t="s">
        <v>392</v>
      </c>
      <c r="AH43" s="2">
        <v>43267.0</v>
      </c>
      <c r="AI43" s="1" t="s">
        <v>268</v>
      </c>
      <c r="AJ43" s="1">
        <v>26.0</v>
      </c>
      <c r="AK43" s="1">
        <v>29.0</v>
      </c>
      <c r="AL43" s="1">
        <v>4.0</v>
      </c>
      <c r="AM43" s="1" t="s">
        <v>58</v>
      </c>
    </row>
    <row r="44" ht="15.75" customHeight="1">
      <c r="A44" s="1" t="s">
        <v>401</v>
      </c>
      <c r="B44" s="1" t="s">
        <v>41</v>
      </c>
      <c r="C44" s="1" t="s">
        <v>402</v>
      </c>
      <c r="D44" s="2">
        <v>43268.0</v>
      </c>
      <c r="E44" s="1" t="s">
        <v>403</v>
      </c>
      <c r="F44" s="1" t="s">
        <v>404</v>
      </c>
      <c r="G44" s="1" t="s">
        <v>405</v>
      </c>
      <c r="H44" s="1" t="s">
        <v>406</v>
      </c>
      <c r="L44" s="1" t="s">
        <v>407</v>
      </c>
      <c r="M44" s="1" t="s">
        <v>408</v>
      </c>
      <c r="N44" s="1">
        <v>4818.0</v>
      </c>
      <c r="O44" s="1" t="s">
        <v>49</v>
      </c>
      <c r="P44" s="1">
        <v>4.67333545E8</v>
      </c>
      <c r="Q44" s="1" t="str">
        <f>"467333545"</f>
        <v>467333545</v>
      </c>
      <c r="S44" s="1" t="str">
        <f t="shared" si="15"/>
        <v/>
      </c>
      <c r="T44" s="1">
        <v>4.67333545E8</v>
      </c>
      <c r="U44" s="1" t="str">
        <f>"0467333545"</f>
        <v>0467333545</v>
      </c>
      <c r="V44" s="1" t="s">
        <v>409</v>
      </c>
      <c r="W44" s="1" t="s">
        <v>70</v>
      </c>
      <c r="Y44" s="1" t="s">
        <v>52</v>
      </c>
      <c r="Z44" s="1" t="s">
        <v>410</v>
      </c>
      <c r="AB44" s="1" t="s">
        <v>54</v>
      </c>
      <c r="AC44" s="1" t="s">
        <v>55</v>
      </c>
      <c r="AD44" s="1">
        <v>2.0</v>
      </c>
      <c r="AE44" s="1" t="s">
        <v>56</v>
      </c>
      <c r="AF44" s="1">
        <v>2.0</v>
      </c>
      <c r="AG44" s="1" t="s">
        <v>402</v>
      </c>
      <c r="AH44" s="2">
        <v>43268.0</v>
      </c>
      <c r="AI44" s="1" t="s">
        <v>321</v>
      </c>
      <c r="AJ44" s="1">
        <v>18.0</v>
      </c>
      <c r="AK44" s="1">
        <v>19.0</v>
      </c>
      <c r="AL44" s="1">
        <v>2.0</v>
      </c>
      <c r="AM44" s="1" t="s">
        <v>58</v>
      </c>
    </row>
    <row r="45" ht="15.75" customHeight="1">
      <c r="A45" s="1" t="s">
        <v>411</v>
      </c>
      <c r="B45" s="1" t="s">
        <v>41</v>
      </c>
      <c r="C45" s="1" t="s">
        <v>412</v>
      </c>
      <c r="D45" s="2">
        <v>43268.0</v>
      </c>
      <c r="E45" s="1" t="s">
        <v>413</v>
      </c>
      <c r="F45" s="1" t="s">
        <v>414</v>
      </c>
      <c r="G45" s="1" t="s">
        <v>415</v>
      </c>
      <c r="H45" s="1" t="s">
        <v>416</v>
      </c>
      <c r="L45" s="1" t="s">
        <v>417</v>
      </c>
      <c r="M45" s="1" t="s">
        <v>418</v>
      </c>
      <c r="N45" s="1">
        <v>3183.0</v>
      </c>
      <c r="O45" s="1" t="s">
        <v>49</v>
      </c>
      <c r="P45" s="1">
        <v>4.68499875E8</v>
      </c>
      <c r="Q45" s="1" t="str">
        <f>"468499875"</f>
        <v>468499875</v>
      </c>
      <c r="S45" s="1" t="str">
        <f t="shared" si="15"/>
        <v/>
      </c>
      <c r="U45" s="1" t="str">
        <f>""</f>
        <v/>
      </c>
      <c r="V45" s="1" t="s">
        <v>419</v>
      </c>
      <c r="W45" s="1" t="s">
        <v>51</v>
      </c>
      <c r="Y45" s="1" t="s">
        <v>52</v>
      </c>
      <c r="Z45" s="1" t="s">
        <v>420</v>
      </c>
      <c r="AB45" s="1" t="s">
        <v>54</v>
      </c>
      <c r="AC45" s="1" t="s">
        <v>55</v>
      </c>
      <c r="AD45" s="1">
        <v>3.0</v>
      </c>
      <c r="AE45" s="1" t="s">
        <v>56</v>
      </c>
      <c r="AF45" s="1">
        <v>3.0</v>
      </c>
      <c r="AG45" s="1" t="s">
        <v>412</v>
      </c>
      <c r="AH45" s="2">
        <v>43268.0</v>
      </c>
      <c r="AI45" s="1" t="s">
        <v>268</v>
      </c>
      <c r="AJ45" s="1">
        <v>24.0</v>
      </c>
      <c r="AK45" s="1">
        <v>25.0</v>
      </c>
      <c r="AL45" s="1">
        <v>2.0</v>
      </c>
      <c r="AM45" s="1" t="s">
        <v>58</v>
      </c>
    </row>
    <row r="46" ht="15.75" customHeight="1">
      <c r="A46" s="1" t="s">
        <v>421</v>
      </c>
      <c r="B46" s="1" t="s">
        <v>41</v>
      </c>
      <c r="C46" s="1" t="s">
        <v>422</v>
      </c>
      <c r="D46" s="2">
        <v>43268.0</v>
      </c>
      <c r="E46" s="1" t="s">
        <v>423</v>
      </c>
      <c r="F46" s="1" t="s">
        <v>424</v>
      </c>
      <c r="G46" s="1" t="s">
        <v>425</v>
      </c>
      <c r="H46" s="1" t="s">
        <v>426</v>
      </c>
      <c r="L46" s="1" t="s">
        <v>427</v>
      </c>
      <c r="M46" s="1" t="s">
        <v>428</v>
      </c>
      <c r="N46" s="1">
        <v>3800.0</v>
      </c>
      <c r="O46" s="1" t="s">
        <v>49</v>
      </c>
      <c r="P46" s="1">
        <v>4.0300073E8</v>
      </c>
      <c r="Q46" s="1" t="str">
        <f>"403000730"</f>
        <v>403000730</v>
      </c>
      <c r="S46" s="1" t="str">
        <f t="shared" si="15"/>
        <v/>
      </c>
      <c r="T46" s="1">
        <v>6.140300073E10</v>
      </c>
      <c r="U46" s="1" t="str">
        <f>"61403000730"</f>
        <v>61403000730</v>
      </c>
      <c r="V46" s="1" t="s">
        <v>429</v>
      </c>
      <c r="W46" s="1" t="s">
        <v>70</v>
      </c>
      <c r="Y46" s="1" t="s">
        <v>115</v>
      </c>
      <c r="Z46" s="1" t="s">
        <v>430</v>
      </c>
      <c r="AB46" s="1" t="s">
        <v>54</v>
      </c>
      <c r="AC46" s="1" t="s">
        <v>55</v>
      </c>
      <c r="AD46" s="1">
        <v>2.0</v>
      </c>
      <c r="AE46" s="1" t="s">
        <v>56</v>
      </c>
      <c r="AF46" s="1">
        <v>2.0</v>
      </c>
      <c r="AG46" s="1" t="s">
        <v>422</v>
      </c>
      <c r="AH46" s="2">
        <v>43268.0</v>
      </c>
      <c r="AI46" s="1" t="s">
        <v>321</v>
      </c>
      <c r="AJ46" s="1">
        <v>16.0</v>
      </c>
      <c r="AK46" s="1">
        <v>17.0</v>
      </c>
      <c r="AL46" s="1">
        <v>2.0</v>
      </c>
      <c r="AM46" s="1" t="s">
        <v>58</v>
      </c>
    </row>
    <row r="47" ht="15.75" customHeight="1">
      <c r="A47" s="1" t="s">
        <v>431</v>
      </c>
      <c r="B47" s="1" t="s">
        <v>41</v>
      </c>
      <c r="C47" s="1" t="s">
        <v>432</v>
      </c>
      <c r="D47" s="2">
        <v>43268.0</v>
      </c>
      <c r="E47" s="1" t="s">
        <v>433</v>
      </c>
      <c r="F47" s="1" t="s">
        <v>434</v>
      </c>
      <c r="G47" s="1" t="s">
        <v>435</v>
      </c>
      <c r="H47" s="1" t="s">
        <v>436</v>
      </c>
      <c r="L47" s="1" t="s">
        <v>437</v>
      </c>
      <c r="M47" s="1" t="s">
        <v>198</v>
      </c>
      <c r="N47" s="1">
        <v>3081.0</v>
      </c>
      <c r="O47" s="1" t="s">
        <v>49</v>
      </c>
      <c r="P47" s="1">
        <v>4.87070398E8</v>
      </c>
      <c r="Q47" s="1" t="str">
        <f>"487070398"</f>
        <v>487070398</v>
      </c>
      <c r="S47" s="1" t="str">
        <f t="shared" si="15"/>
        <v/>
      </c>
      <c r="U47" s="1" t="str">
        <f>""</f>
        <v/>
      </c>
      <c r="V47" s="1" t="s">
        <v>438</v>
      </c>
      <c r="W47" s="1" t="s">
        <v>51</v>
      </c>
      <c r="Y47" s="1" t="s">
        <v>52</v>
      </c>
      <c r="Z47" s="1" t="s">
        <v>439</v>
      </c>
      <c r="AB47" s="1" t="s">
        <v>54</v>
      </c>
      <c r="AC47" s="1" t="s">
        <v>83</v>
      </c>
      <c r="AD47" s="1">
        <v>3.0</v>
      </c>
      <c r="AE47" s="1" t="s">
        <v>56</v>
      </c>
      <c r="AF47" s="1">
        <v>3.0</v>
      </c>
      <c r="AG47" s="1" t="s">
        <v>432</v>
      </c>
      <c r="AH47" s="2">
        <v>43268.0</v>
      </c>
      <c r="AI47" s="1" t="s">
        <v>440</v>
      </c>
      <c r="AJ47" s="1">
        <v>17.0</v>
      </c>
      <c r="AK47" s="1">
        <v>26.0</v>
      </c>
      <c r="AL47" s="1">
        <v>10.0</v>
      </c>
      <c r="AM47" s="1" t="s">
        <v>58</v>
      </c>
    </row>
    <row r="48" ht="15.75" customHeight="1">
      <c r="A48" s="1" t="s">
        <v>441</v>
      </c>
      <c r="B48" s="1" t="s">
        <v>41</v>
      </c>
      <c r="C48" s="1" t="s">
        <v>442</v>
      </c>
      <c r="D48" s="2">
        <v>43268.0</v>
      </c>
      <c r="E48" s="1" t="s">
        <v>443</v>
      </c>
      <c r="F48" s="1" t="s">
        <v>444</v>
      </c>
      <c r="G48" s="1" t="s">
        <v>445</v>
      </c>
      <c r="H48" s="1" t="s">
        <v>446</v>
      </c>
      <c r="L48" s="1" t="s">
        <v>447</v>
      </c>
      <c r="M48" s="1" t="s">
        <v>448</v>
      </c>
      <c r="N48" s="1">
        <v>3754.0</v>
      </c>
      <c r="O48" s="1" t="s">
        <v>49</v>
      </c>
      <c r="P48" s="1">
        <v>4.01063211E8</v>
      </c>
      <c r="Q48" s="1" t="str">
        <f>"401063211"</f>
        <v>401063211</v>
      </c>
      <c r="S48" s="1" t="str">
        <f t="shared" si="15"/>
        <v/>
      </c>
      <c r="T48" s="1">
        <v>4.01063211E8</v>
      </c>
      <c r="U48" s="1" t="str">
        <f>"0401063211"</f>
        <v>0401063211</v>
      </c>
      <c r="V48" s="1" t="s">
        <v>449</v>
      </c>
      <c r="W48" s="1" t="s">
        <v>51</v>
      </c>
      <c r="Y48" s="1" t="s">
        <v>115</v>
      </c>
      <c r="Z48" s="1" t="s">
        <v>450</v>
      </c>
      <c r="AB48" s="1" t="s">
        <v>54</v>
      </c>
      <c r="AC48" s="1" t="s">
        <v>55</v>
      </c>
      <c r="AD48" s="1">
        <v>4.0</v>
      </c>
      <c r="AE48" s="1" t="s">
        <v>180</v>
      </c>
      <c r="AF48" s="1">
        <v>4.0</v>
      </c>
      <c r="AG48" s="1" t="s">
        <v>442</v>
      </c>
      <c r="AH48" s="2">
        <v>43268.0</v>
      </c>
      <c r="AI48" s="1" t="s">
        <v>72</v>
      </c>
      <c r="AJ48" s="1">
        <v>22.0</v>
      </c>
      <c r="AK48" s="1">
        <v>24.0</v>
      </c>
      <c r="AL48" s="1">
        <v>3.0</v>
      </c>
      <c r="AM48" s="1" t="s">
        <v>58</v>
      </c>
    </row>
    <row r="49" ht="15.75" customHeight="1">
      <c r="A49" s="1" t="s">
        <v>451</v>
      </c>
      <c r="B49" s="1" t="s">
        <v>41</v>
      </c>
      <c r="C49" s="1" t="s">
        <v>452</v>
      </c>
      <c r="D49" s="2">
        <v>43268.0</v>
      </c>
      <c r="E49" s="1" t="s">
        <v>453</v>
      </c>
      <c r="F49" s="1" t="s">
        <v>454</v>
      </c>
      <c r="G49" s="1" t="s">
        <v>455</v>
      </c>
      <c r="H49" s="1" t="s">
        <v>456</v>
      </c>
      <c r="L49" s="1" t="s">
        <v>457</v>
      </c>
      <c r="M49" s="1" t="s">
        <v>296</v>
      </c>
      <c r="N49" s="1">
        <v>3053.0</v>
      </c>
      <c r="O49" s="1" t="s">
        <v>49</v>
      </c>
      <c r="P49" s="1">
        <v>4.34554854E8</v>
      </c>
      <c r="Q49" s="1" t="str">
        <f>"434554854"</f>
        <v>434554854</v>
      </c>
      <c r="S49" s="1" t="str">
        <f t="shared" si="15"/>
        <v/>
      </c>
      <c r="U49" s="1" t="str">
        <f t="shared" ref="U49:U51" si="18">""</f>
        <v/>
      </c>
      <c r="V49" s="1" t="s">
        <v>458</v>
      </c>
      <c r="W49" s="1" t="s">
        <v>70</v>
      </c>
      <c r="Y49" s="1" t="s">
        <v>115</v>
      </c>
      <c r="Z49" s="1" t="s">
        <v>459</v>
      </c>
      <c r="AB49" s="1" t="s">
        <v>54</v>
      </c>
      <c r="AC49" s="1" t="s">
        <v>55</v>
      </c>
      <c r="AD49" s="1">
        <v>2.0</v>
      </c>
      <c r="AE49" s="1" t="s">
        <v>56</v>
      </c>
      <c r="AF49" s="1">
        <v>2.0</v>
      </c>
      <c r="AG49" s="1" t="s">
        <v>452</v>
      </c>
      <c r="AH49" s="2">
        <v>43268.0</v>
      </c>
      <c r="AI49" s="1" t="s">
        <v>321</v>
      </c>
      <c r="AJ49" s="1">
        <v>26.0</v>
      </c>
      <c r="AK49" s="1">
        <v>27.0</v>
      </c>
      <c r="AL49" s="1">
        <v>2.0</v>
      </c>
      <c r="AM49" s="1" t="s">
        <v>58</v>
      </c>
    </row>
    <row r="50" ht="15.75" customHeight="1">
      <c r="A50" s="1" t="s">
        <v>460</v>
      </c>
      <c r="B50" s="1" t="s">
        <v>41</v>
      </c>
      <c r="C50" s="1" t="s">
        <v>461</v>
      </c>
      <c r="D50" s="2">
        <v>43268.0</v>
      </c>
      <c r="E50" s="1" t="s">
        <v>462</v>
      </c>
      <c r="F50" s="1" t="s">
        <v>463</v>
      </c>
      <c r="G50" s="1" t="s">
        <v>464</v>
      </c>
      <c r="H50" s="1" t="s">
        <v>465</v>
      </c>
      <c r="L50" s="1" t="s">
        <v>466</v>
      </c>
      <c r="M50" s="1" t="s">
        <v>467</v>
      </c>
      <c r="N50" s="1">
        <v>3161.0</v>
      </c>
      <c r="O50" s="1" t="s">
        <v>49</v>
      </c>
      <c r="P50" s="1">
        <v>6.147805668E9</v>
      </c>
      <c r="Q50" s="1" t="str">
        <f>"6147805668"</f>
        <v>6147805668</v>
      </c>
      <c r="R50" s="1">
        <v>1.0</v>
      </c>
      <c r="S50" s="1" t="str">
        <f>"1"</f>
        <v>1</v>
      </c>
      <c r="U50" s="1" t="str">
        <f t="shared" si="18"/>
        <v/>
      </c>
      <c r="V50" s="1" t="s">
        <v>468</v>
      </c>
      <c r="W50" s="1" t="s">
        <v>70</v>
      </c>
      <c r="Y50" s="1" t="s">
        <v>115</v>
      </c>
      <c r="Z50" s="1" t="s">
        <v>469</v>
      </c>
      <c r="AB50" s="1" t="s">
        <v>54</v>
      </c>
      <c r="AC50" s="1" t="s">
        <v>55</v>
      </c>
      <c r="AD50" s="1">
        <v>2.0</v>
      </c>
      <c r="AE50" s="1" t="s">
        <v>56</v>
      </c>
      <c r="AF50" s="1">
        <v>2.0</v>
      </c>
      <c r="AG50" s="1" t="s">
        <v>461</v>
      </c>
      <c r="AH50" s="2">
        <v>43268.0</v>
      </c>
      <c r="AI50" s="1" t="s">
        <v>117</v>
      </c>
      <c r="AJ50" s="1">
        <v>32.0</v>
      </c>
      <c r="AK50" s="1">
        <v>34.0</v>
      </c>
      <c r="AL50" s="1">
        <v>3.0</v>
      </c>
      <c r="AM50" s="1" t="s">
        <v>58</v>
      </c>
    </row>
    <row r="51" ht="15.75" customHeight="1">
      <c r="A51" s="1" t="s">
        <v>470</v>
      </c>
      <c r="B51" s="1" t="s">
        <v>41</v>
      </c>
      <c r="C51" s="1" t="s">
        <v>471</v>
      </c>
      <c r="D51" s="2">
        <v>43268.0</v>
      </c>
      <c r="E51" s="1" t="s">
        <v>472</v>
      </c>
      <c r="F51" s="1" t="s">
        <v>473</v>
      </c>
      <c r="G51" s="1" t="s">
        <v>474</v>
      </c>
      <c r="H51" s="1" t="s">
        <v>475</v>
      </c>
      <c r="L51" s="1" t="s">
        <v>476</v>
      </c>
      <c r="M51" s="1" t="s">
        <v>477</v>
      </c>
      <c r="N51" s="1">
        <v>3182.0</v>
      </c>
      <c r="O51" s="1" t="s">
        <v>49</v>
      </c>
      <c r="P51" s="1">
        <v>4.70638193E8</v>
      </c>
      <c r="Q51" s="1" t="str">
        <f>"470638193"</f>
        <v>470638193</v>
      </c>
      <c r="S51" s="1" t="str">
        <f t="shared" ref="S51:S92" si="19">""</f>
        <v/>
      </c>
      <c r="U51" s="1" t="str">
        <f t="shared" si="18"/>
        <v/>
      </c>
      <c r="V51" s="1" t="s">
        <v>478</v>
      </c>
      <c r="W51" s="1" t="s">
        <v>70</v>
      </c>
      <c r="Y51" s="1" t="s">
        <v>115</v>
      </c>
      <c r="Z51" s="1" t="s">
        <v>479</v>
      </c>
      <c r="AB51" s="1" t="s">
        <v>54</v>
      </c>
      <c r="AC51" s="1" t="s">
        <v>55</v>
      </c>
      <c r="AD51" s="1">
        <v>2.0</v>
      </c>
      <c r="AE51" s="1" t="s">
        <v>56</v>
      </c>
      <c r="AF51" s="1">
        <v>2.0</v>
      </c>
      <c r="AG51" s="1" t="s">
        <v>471</v>
      </c>
      <c r="AH51" s="2">
        <v>43268.0</v>
      </c>
      <c r="AI51" s="1" t="s">
        <v>117</v>
      </c>
      <c r="AJ51" s="1">
        <v>9.0</v>
      </c>
      <c r="AK51" s="1">
        <v>11.0</v>
      </c>
      <c r="AL51" s="1">
        <v>3.0</v>
      </c>
      <c r="AM51" s="1" t="s">
        <v>58</v>
      </c>
    </row>
    <row r="52" ht="15.75" customHeight="1">
      <c r="A52" s="1" t="s">
        <v>480</v>
      </c>
      <c r="B52" s="1" t="s">
        <v>41</v>
      </c>
      <c r="C52" s="1" t="s">
        <v>481</v>
      </c>
      <c r="D52" s="2">
        <v>43268.0</v>
      </c>
      <c r="E52" s="1" t="s">
        <v>482</v>
      </c>
      <c r="F52" s="1" t="s">
        <v>483</v>
      </c>
      <c r="G52" s="1" t="s">
        <v>484</v>
      </c>
      <c r="H52" s="1" t="s">
        <v>485</v>
      </c>
      <c r="L52" s="1" t="s">
        <v>486</v>
      </c>
      <c r="M52" s="1" t="s">
        <v>487</v>
      </c>
      <c r="N52" s="1">
        <v>3006.0</v>
      </c>
      <c r="O52" s="1" t="s">
        <v>49</v>
      </c>
      <c r="P52" s="1">
        <v>4.13471516E8</v>
      </c>
      <c r="Q52" s="1" t="str">
        <f>"413471516"</f>
        <v>413471516</v>
      </c>
      <c r="S52" s="1" t="str">
        <f t="shared" si="19"/>
        <v/>
      </c>
      <c r="T52" s="1">
        <v>4.13471516E8</v>
      </c>
      <c r="U52" s="1" t="str">
        <f>"0413471516"</f>
        <v>0413471516</v>
      </c>
      <c r="V52" s="1" t="s">
        <v>488</v>
      </c>
      <c r="W52" s="1" t="s">
        <v>51</v>
      </c>
      <c r="Y52" s="1" t="s">
        <v>115</v>
      </c>
      <c r="Z52" s="1" t="s">
        <v>489</v>
      </c>
      <c r="AB52" s="1" t="s">
        <v>54</v>
      </c>
      <c r="AC52" s="1" t="s">
        <v>55</v>
      </c>
      <c r="AD52" s="1">
        <v>3.0</v>
      </c>
      <c r="AE52" s="1" t="s">
        <v>56</v>
      </c>
      <c r="AF52" s="1">
        <v>3.0</v>
      </c>
      <c r="AG52" s="1" t="s">
        <v>481</v>
      </c>
      <c r="AH52" s="2">
        <v>43268.0</v>
      </c>
      <c r="AI52" s="1" t="s">
        <v>490</v>
      </c>
      <c r="AJ52" s="1">
        <v>21.0</v>
      </c>
      <c r="AK52" s="1">
        <v>22.0</v>
      </c>
      <c r="AL52" s="1">
        <v>2.0</v>
      </c>
      <c r="AM52" s="1" t="s">
        <v>58</v>
      </c>
    </row>
    <row r="53" ht="15.75" customHeight="1">
      <c r="A53" s="1" t="s">
        <v>491</v>
      </c>
      <c r="B53" s="1" t="s">
        <v>41</v>
      </c>
      <c r="C53" s="1" t="s">
        <v>492</v>
      </c>
      <c r="D53" s="2">
        <v>43268.0</v>
      </c>
      <c r="E53" s="1" t="s">
        <v>493</v>
      </c>
      <c r="F53" s="1" t="s">
        <v>494</v>
      </c>
      <c r="G53" s="1" t="s">
        <v>495</v>
      </c>
      <c r="H53" s="1" t="s">
        <v>496</v>
      </c>
      <c r="L53" s="1" t="s">
        <v>497</v>
      </c>
      <c r="M53" s="1" t="s">
        <v>498</v>
      </c>
      <c r="N53" s="1">
        <v>3977.0</v>
      </c>
      <c r="O53" s="1" t="s">
        <v>49</v>
      </c>
      <c r="P53" s="1">
        <v>4.32303414E8</v>
      </c>
      <c r="Q53" s="1" t="str">
        <f>"432303414"</f>
        <v>432303414</v>
      </c>
      <c r="S53" s="1" t="str">
        <f t="shared" si="19"/>
        <v/>
      </c>
      <c r="T53" s="1">
        <v>4.32303414E8</v>
      </c>
      <c r="U53" s="1" t="str">
        <f>"0432303414"</f>
        <v>0432303414</v>
      </c>
      <c r="V53" s="1" t="s">
        <v>499</v>
      </c>
      <c r="W53" s="1" t="s">
        <v>51</v>
      </c>
      <c r="Y53" s="1" t="s">
        <v>115</v>
      </c>
      <c r="Z53" s="1" t="s">
        <v>500</v>
      </c>
      <c r="AB53" s="1" t="s">
        <v>54</v>
      </c>
      <c r="AC53" s="1" t="s">
        <v>83</v>
      </c>
      <c r="AD53" s="1">
        <v>4.0</v>
      </c>
      <c r="AE53" s="1" t="s">
        <v>180</v>
      </c>
      <c r="AF53" s="1">
        <v>4.0</v>
      </c>
      <c r="AG53" s="1" t="s">
        <v>492</v>
      </c>
      <c r="AH53" s="2">
        <v>43268.0</v>
      </c>
      <c r="AI53" s="1" t="s">
        <v>57</v>
      </c>
      <c r="AJ53" s="1">
        <v>16.0</v>
      </c>
      <c r="AK53" s="1">
        <v>17.0</v>
      </c>
      <c r="AL53" s="1">
        <v>2.0</v>
      </c>
      <c r="AM53" s="1" t="s">
        <v>58</v>
      </c>
    </row>
    <row r="54" ht="15.75" customHeight="1">
      <c r="A54" s="1" t="s">
        <v>501</v>
      </c>
      <c r="B54" s="1" t="s">
        <v>41</v>
      </c>
      <c r="C54" s="1" t="s">
        <v>502</v>
      </c>
      <c r="D54" s="2">
        <v>43268.0</v>
      </c>
      <c r="E54" s="1" t="s">
        <v>503</v>
      </c>
      <c r="F54" s="1" t="s">
        <v>504</v>
      </c>
      <c r="G54" s="1" t="s">
        <v>505</v>
      </c>
      <c r="H54" s="1" t="s">
        <v>506</v>
      </c>
      <c r="K54" s="1" t="s">
        <v>507</v>
      </c>
      <c r="L54" s="1" t="s">
        <v>508</v>
      </c>
      <c r="M54" s="1" t="s">
        <v>509</v>
      </c>
      <c r="N54" s="1">
        <v>3056.0</v>
      </c>
      <c r="O54" s="1" t="s">
        <v>49</v>
      </c>
      <c r="P54" s="1">
        <v>4.20894849E8</v>
      </c>
      <c r="Q54" s="1" t="str">
        <f>"420894849"</f>
        <v>420894849</v>
      </c>
      <c r="S54" s="1" t="str">
        <f t="shared" si="19"/>
        <v/>
      </c>
      <c r="U54" s="1" t="str">
        <f t="shared" ref="U54:U55" si="20">""</f>
        <v/>
      </c>
      <c r="V54" s="1" t="s">
        <v>510</v>
      </c>
      <c r="W54" s="1" t="s">
        <v>51</v>
      </c>
      <c r="Y54" s="1" t="s">
        <v>52</v>
      </c>
      <c r="Z54" s="1" t="s">
        <v>511</v>
      </c>
      <c r="AB54" s="1" t="s">
        <v>54</v>
      </c>
      <c r="AC54" s="1" t="s">
        <v>83</v>
      </c>
      <c r="AD54" s="1">
        <v>2.0</v>
      </c>
      <c r="AE54" s="1" t="s">
        <v>56</v>
      </c>
      <c r="AF54" s="1">
        <v>2.0</v>
      </c>
      <c r="AG54" s="1" t="s">
        <v>502</v>
      </c>
      <c r="AH54" s="2">
        <v>43268.0</v>
      </c>
      <c r="AI54" s="1" t="s">
        <v>117</v>
      </c>
      <c r="AJ54" s="1">
        <v>35.0</v>
      </c>
      <c r="AK54" s="1">
        <v>36.0</v>
      </c>
      <c r="AL54" s="1">
        <v>2.0</v>
      </c>
      <c r="AM54" s="1" t="s">
        <v>58</v>
      </c>
    </row>
    <row r="55" ht="15.75" customHeight="1">
      <c r="A55" s="1" t="s">
        <v>512</v>
      </c>
      <c r="B55" s="1" t="s">
        <v>41</v>
      </c>
      <c r="C55" s="1" t="s">
        <v>513</v>
      </c>
      <c r="D55" s="2">
        <v>43269.0</v>
      </c>
      <c r="E55" s="1" t="s">
        <v>514</v>
      </c>
      <c r="F55" s="1" t="s">
        <v>515</v>
      </c>
      <c r="G55" s="1" t="s">
        <v>516</v>
      </c>
      <c r="H55" s="1" t="s">
        <v>517</v>
      </c>
      <c r="L55" s="1" t="s">
        <v>518</v>
      </c>
      <c r="M55" s="1" t="s">
        <v>519</v>
      </c>
      <c r="N55" s="1">
        <v>3039.0</v>
      </c>
      <c r="O55" s="1" t="s">
        <v>49</v>
      </c>
      <c r="P55" s="1">
        <v>4.04086333E8</v>
      </c>
      <c r="Q55" s="1" t="str">
        <f>"404086333"</f>
        <v>404086333</v>
      </c>
      <c r="S55" s="1" t="str">
        <f t="shared" si="19"/>
        <v/>
      </c>
      <c r="U55" s="1" t="str">
        <f t="shared" si="20"/>
        <v/>
      </c>
      <c r="V55" s="1" t="s">
        <v>520</v>
      </c>
      <c r="W55" s="1" t="s">
        <v>70</v>
      </c>
      <c r="Y55" s="1" t="s">
        <v>52</v>
      </c>
      <c r="Z55" s="1" t="s">
        <v>521</v>
      </c>
      <c r="AB55" s="1" t="s">
        <v>54</v>
      </c>
      <c r="AC55" s="1" t="s">
        <v>55</v>
      </c>
      <c r="AD55" s="1">
        <v>2.0</v>
      </c>
      <c r="AE55" s="1" t="s">
        <v>56</v>
      </c>
      <c r="AF55" s="1">
        <v>2.0</v>
      </c>
      <c r="AG55" s="1" t="s">
        <v>513</v>
      </c>
      <c r="AH55" s="2">
        <v>43269.0</v>
      </c>
      <c r="AI55" s="1" t="s">
        <v>321</v>
      </c>
      <c r="AJ55" s="1">
        <v>11.0</v>
      </c>
      <c r="AK55" s="1">
        <v>11.0</v>
      </c>
      <c r="AL55" s="1">
        <v>1.0</v>
      </c>
      <c r="AM55" s="1" t="s">
        <v>58</v>
      </c>
    </row>
    <row r="56" ht="15.75" customHeight="1">
      <c r="A56" s="1" t="s">
        <v>522</v>
      </c>
      <c r="B56" s="1" t="s">
        <v>41</v>
      </c>
      <c r="C56" s="1" t="s">
        <v>523</v>
      </c>
      <c r="D56" s="2">
        <v>43269.0</v>
      </c>
      <c r="E56" s="1" t="s">
        <v>524</v>
      </c>
      <c r="F56" s="1" t="s">
        <v>525</v>
      </c>
      <c r="G56" s="1" t="s">
        <v>526</v>
      </c>
      <c r="H56" s="1" t="s">
        <v>527</v>
      </c>
      <c r="L56" s="1" t="s">
        <v>528</v>
      </c>
      <c r="M56" s="1" t="s">
        <v>529</v>
      </c>
      <c r="N56" s="1">
        <v>3166.0</v>
      </c>
      <c r="O56" s="1" t="s">
        <v>49</v>
      </c>
      <c r="P56" s="1">
        <v>4.34232064E8</v>
      </c>
      <c r="Q56" s="1" t="str">
        <f>"434232064"</f>
        <v>434232064</v>
      </c>
      <c r="S56" s="1" t="str">
        <f t="shared" si="19"/>
        <v/>
      </c>
      <c r="T56" s="1">
        <v>4.34232064E8</v>
      </c>
      <c r="U56" s="1" t="str">
        <f>"0434232064"</f>
        <v>0434232064</v>
      </c>
      <c r="V56" s="1" t="s">
        <v>530</v>
      </c>
      <c r="W56" s="1" t="s">
        <v>51</v>
      </c>
      <c r="Y56" s="1" t="s">
        <v>115</v>
      </c>
      <c r="Z56" s="1" t="s">
        <v>531</v>
      </c>
      <c r="AB56" s="1" t="s">
        <v>54</v>
      </c>
      <c r="AC56" s="1" t="s">
        <v>55</v>
      </c>
      <c r="AD56" s="1">
        <v>3.0</v>
      </c>
      <c r="AE56" s="1" t="s">
        <v>56</v>
      </c>
      <c r="AF56" s="1">
        <v>3.0</v>
      </c>
      <c r="AG56" s="1" t="s">
        <v>523</v>
      </c>
      <c r="AH56" s="2">
        <v>43269.0</v>
      </c>
      <c r="AI56" s="1" t="s">
        <v>96</v>
      </c>
      <c r="AJ56" s="1">
        <v>8.0</v>
      </c>
      <c r="AK56" s="1">
        <v>11.0</v>
      </c>
      <c r="AL56" s="1">
        <v>4.0</v>
      </c>
      <c r="AM56" s="1" t="s">
        <v>58</v>
      </c>
    </row>
    <row r="57" ht="15.75" customHeight="1">
      <c r="A57" s="1" t="s">
        <v>532</v>
      </c>
      <c r="B57" s="1" t="s">
        <v>41</v>
      </c>
      <c r="C57" s="1" t="s">
        <v>533</v>
      </c>
      <c r="D57" s="2">
        <v>43269.0</v>
      </c>
      <c r="E57" s="1" t="s">
        <v>534</v>
      </c>
      <c r="F57" s="1" t="s">
        <v>535</v>
      </c>
      <c r="G57" s="1" t="s">
        <v>536</v>
      </c>
      <c r="H57" s="1" t="s">
        <v>537</v>
      </c>
      <c r="L57" s="1" t="s">
        <v>538</v>
      </c>
      <c r="M57" s="1" t="s">
        <v>539</v>
      </c>
      <c r="N57" s="1">
        <v>3122.0</v>
      </c>
      <c r="O57" s="1" t="s">
        <v>49</v>
      </c>
      <c r="P57" s="1">
        <v>4.22119384E8</v>
      </c>
      <c r="Q57" s="1" t="str">
        <f>"422119384"</f>
        <v>422119384</v>
      </c>
      <c r="S57" s="1" t="str">
        <f t="shared" si="19"/>
        <v/>
      </c>
      <c r="U57" s="1" t="str">
        <f>""</f>
        <v/>
      </c>
      <c r="V57" s="1" t="s">
        <v>540</v>
      </c>
      <c r="W57" s="1" t="s">
        <v>70</v>
      </c>
      <c r="Y57" s="1" t="s">
        <v>115</v>
      </c>
      <c r="Z57" s="1" t="s">
        <v>541</v>
      </c>
      <c r="AB57" s="1" t="s">
        <v>54</v>
      </c>
      <c r="AC57" s="1" t="s">
        <v>55</v>
      </c>
      <c r="AD57" s="1">
        <v>2.0</v>
      </c>
      <c r="AE57" s="1" t="s">
        <v>56</v>
      </c>
      <c r="AF57" s="1">
        <v>2.0</v>
      </c>
      <c r="AG57" s="1" t="s">
        <v>533</v>
      </c>
      <c r="AH57" s="2">
        <v>43269.0</v>
      </c>
      <c r="AI57" s="1" t="s">
        <v>321</v>
      </c>
      <c r="AJ57" s="1">
        <v>14.0</v>
      </c>
      <c r="AK57" s="1">
        <v>15.0</v>
      </c>
      <c r="AL57" s="1">
        <v>2.0</v>
      </c>
      <c r="AM57" s="1" t="s">
        <v>58</v>
      </c>
    </row>
    <row r="58" ht="15.75" customHeight="1">
      <c r="A58" s="1" t="s">
        <v>542</v>
      </c>
      <c r="B58" s="1" t="s">
        <v>41</v>
      </c>
      <c r="C58" s="1" t="s">
        <v>543</v>
      </c>
      <c r="D58" s="2">
        <v>43269.0</v>
      </c>
      <c r="E58" s="1" t="s">
        <v>544</v>
      </c>
      <c r="F58" s="1" t="s">
        <v>545</v>
      </c>
      <c r="G58" s="1" t="s">
        <v>546</v>
      </c>
      <c r="H58" s="1" t="s">
        <v>547</v>
      </c>
      <c r="L58" s="1" t="s">
        <v>548</v>
      </c>
      <c r="M58" s="1" t="s">
        <v>549</v>
      </c>
      <c r="N58" s="1">
        <v>3023.0</v>
      </c>
      <c r="O58" s="1" t="s">
        <v>49</v>
      </c>
      <c r="P58" s="1">
        <v>3.93909121E8</v>
      </c>
      <c r="Q58" s="1" t="str">
        <f>"393909121"</f>
        <v>393909121</v>
      </c>
      <c r="S58" s="1" t="str">
        <f t="shared" si="19"/>
        <v/>
      </c>
      <c r="T58" s="1">
        <v>4.1273001E8</v>
      </c>
      <c r="U58" s="1" t="str">
        <f>"0412730010"</f>
        <v>0412730010</v>
      </c>
      <c r="V58" s="1" t="s">
        <v>550</v>
      </c>
      <c r="W58" s="1" t="s">
        <v>51</v>
      </c>
      <c r="Y58" s="1" t="s">
        <v>52</v>
      </c>
      <c r="Z58" s="1" t="s">
        <v>551</v>
      </c>
      <c r="AB58" s="1" t="s">
        <v>54</v>
      </c>
      <c r="AC58" s="1" t="s">
        <v>55</v>
      </c>
      <c r="AD58" s="1">
        <v>3.0</v>
      </c>
      <c r="AE58" s="1" t="s">
        <v>56</v>
      </c>
      <c r="AF58" s="1">
        <v>3.0</v>
      </c>
      <c r="AG58" s="1" t="s">
        <v>543</v>
      </c>
      <c r="AH58" s="2">
        <v>43269.0</v>
      </c>
      <c r="AI58" s="1" t="s">
        <v>96</v>
      </c>
      <c r="AJ58" s="1">
        <v>32.0</v>
      </c>
      <c r="AK58" s="1">
        <v>33.0</v>
      </c>
      <c r="AL58" s="1">
        <v>2.0</v>
      </c>
      <c r="AM58" s="1" t="s">
        <v>58</v>
      </c>
    </row>
    <row r="59" ht="15.75" customHeight="1">
      <c r="A59" s="1" t="s">
        <v>552</v>
      </c>
      <c r="B59" s="1" t="s">
        <v>41</v>
      </c>
      <c r="C59" s="1" t="s">
        <v>553</v>
      </c>
      <c r="D59" s="2">
        <v>43269.0</v>
      </c>
      <c r="E59" s="1" t="s">
        <v>554</v>
      </c>
      <c r="F59" s="1" t="s">
        <v>555</v>
      </c>
      <c r="G59" s="1" t="s">
        <v>556</v>
      </c>
      <c r="H59" s="1" t="s">
        <v>557</v>
      </c>
      <c r="L59" s="1" t="s">
        <v>558</v>
      </c>
      <c r="M59" s="1" t="s">
        <v>559</v>
      </c>
      <c r="N59" s="1">
        <v>3152.0</v>
      </c>
      <c r="O59" s="1" t="s">
        <v>49</v>
      </c>
      <c r="P59" s="1">
        <v>4.49999618E8</v>
      </c>
      <c r="Q59" s="1" t="str">
        <f>"449999618"</f>
        <v>449999618</v>
      </c>
      <c r="S59" s="1" t="str">
        <f t="shared" si="19"/>
        <v/>
      </c>
      <c r="T59" s="1">
        <v>4.49999618E8</v>
      </c>
      <c r="U59" s="1" t="str">
        <f>"0449999618"</f>
        <v>0449999618</v>
      </c>
      <c r="V59" s="1" t="s">
        <v>560</v>
      </c>
      <c r="W59" s="1" t="s">
        <v>51</v>
      </c>
      <c r="Y59" s="1" t="s">
        <v>115</v>
      </c>
      <c r="Z59" s="1" t="s">
        <v>561</v>
      </c>
      <c r="AB59" s="1" t="s">
        <v>54</v>
      </c>
      <c r="AC59" s="1" t="s">
        <v>55</v>
      </c>
      <c r="AD59" s="1">
        <v>4.0</v>
      </c>
      <c r="AE59" s="1" t="s">
        <v>180</v>
      </c>
      <c r="AF59" s="1">
        <v>4.0</v>
      </c>
      <c r="AG59" s="1" t="s">
        <v>553</v>
      </c>
      <c r="AH59" s="2">
        <v>43269.0</v>
      </c>
      <c r="AI59" s="1" t="s">
        <v>72</v>
      </c>
      <c r="AJ59" s="1">
        <v>13.0</v>
      </c>
      <c r="AK59" s="1">
        <v>16.0</v>
      </c>
      <c r="AL59" s="1">
        <v>4.0</v>
      </c>
      <c r="AM59" s="1" t="s">
        <v>58</v>
      </c>
    </row>
    <row r="60" ht="15.75" customHeight="1">
      <c r="A60" s="1" t="s">
        <v>562</v>
      </c>
      <c r="B60" s="1" t="s">
        <v>41</v>
      </c>
      <c r="C60" s="1" t="s">
        <v>563</v>
      </c>
      <c r="D60" s="2">
        <v>43269.0</v>
      </c>
      <c r="E60" s="1" t="s">
        <v>564</v>
      </c>
      <c r="F60" s="1" t="s">
        <v>565</v>
      </c>
      <c r="G60" s="1" t="s">
        <v>566</v>
      </c>
      <c r="H60" s="1" t="s">
        <v>567</v>
      </c>
      <c r="L60" s="1" t="s">
        <v>568</v>
      </c>
      <c r="M60" s="1" t="s">
        <v>569</v>
      </c>
      <c r="N60" s="1">
        <v>3108.0</v>
      </c>
      <c r="O60" s="1" t="s">
        <v>49</v>
      </c>
      <c r="P60" s="1">
        <v>4.5259458E8</v>
      </c>
      <c r="Q60" s="1" t="str">
        <f>"452594580"</f>
        <v>452594580</v>
      </c>
      <c r="S60" s="1" t="str">
        <f t="shared" si="19"/>
        <v/>
      </c>
      <c r="U60" s="1" t="str">
        <f>""</f>
        <v/>
      </c>
      <c r="V60" s="1" t="s">
        <v>570</v>
      </c>
      <c r="W60" s="1" t="s">
        <v>70</v>
      </c>
      <c r="Y60" s="1" t="s">
        <v>115</v>
      </c>
      <c r="Z60" s="1" t="s">
        <v>571</v>
      </c>
      <c r="AB60" s="1" t="s">
        <v>54</v>
      </c>
      <c r="AC60" s="1" t="s">
        <v>55</v>
      </c>
      <c r="AD60" s="1">
        <v>3.0</v>
      </c>
      <c r="AE60" s="1" t="s">
        <v>56</v>
      </c>
      <c r="AF60" s="1">
        <v>3.0</v>
      </c>
      <c r="AG60" s="1" t="s">
        <v>563</v>
      </c>
      <c r="AH60" s="2">
        <v>43269.0</v>
      </c>
      <c r="AI60" s="1" t="s">
        <v>490</v>
      </c>
      <c r="AJ60" s="1">
        <v>19.0</v>
      </c>
      <c r="AK60" s="1">
        <v>20.0</v>
      </c>
      <c r="AL60" s="1">
        <v>2.0</v>
      </c>
      <c r="AM60" s="1" t="s">
        <v>58</v>
      </c>
    </row>
    <row r="61" ht="15.75" customHeight="1">
      <c r="A61" s="1" t="s">
        <v>572</v>
      </c>
      <c r="B61" s="1" t="s">
        <v>41</v>
      </c>
      <c r="C61" s="1" t="s">
        <v>573</v>
      </c>
      <c r="D61" s="2">
        <v>43269.0</v>
      </c>
      <c r="E61" s="1" t="s">
        <v>574</v>
      </c>
      <c r="F61" s="1" t="s">
        <v>575</v>
      </c>
      <c r="G61" s="1" t="s">
        <v>576</v>
      </c>
      <c r="H61" s="1" t="s">
        <v>577</v>
      </c>
      <c r="L61" s="1" t="s">
        <v>578</v>
      </c>
      <c r="M61" s="1" t="s">
        <v>579</v>
      </c>
      <c r="N61" s="1">
        <v>3046.0</v>
      </c>
      <c r="O61" s="1" t="s">
        <v>49</v>
      </c>
      <c r="P61" s="1">
        <v>3.93234308E8</v>
      </c>
      <c r="Q61" s="1" t="str">
        <f>"393234308"</f>
        <v>393234308</v>
      </c>
      <c r="S61" s="1" t="str">
        <f t="shared" si="19"/>
        <v/>
      </c>
      <c r="T61" s="1">
        <v>4.13544756E8</v>
      </c>
      <c r="U61" s="1" t="str">
        <f>"0413544756"</f>
        <v>0413544756</v>
      </c>
      <c r="V61" s="1" t="s">
        <v>580</v>
      </c>
      <c r="W61" s="1" t="s">
        <v>51</v>
      </c>
      <c r="Y61" s="1" t="s">
        <v>115</v>
      </c>
      <c r="Z61" s="1" t="s">
        <v>581</v>
      </c>
      <c r="AB61" s="1" t="s">
        <v>54</v>
      </c>
      <c r="AC61" s="1" t="s">
        <v>55</v>
      </c>
      <c r="AD61" s="1">
        <v>4.0</v>
      </c>
      <c r="AE61" s="1" t="s">
        <v>180</v>
      </c>
      <c r="AF61" s="1">
        <v>4.0</v>
      </c>
      <c r="AG61" s="1" t="s">
        <v>573</v>
      </c>
      <c r="AH61" s="2">
        <v>43269.0</v>
      </c>
      <c r="AI61" s="1" t="s">
        <v>72</v>
      </c>
      <c r="AJ61" s="1">
        <v>25.0</v>
      </c>
      <c r="AK61" s="1">
        <v>27.0</v>
      </c>
      <c r="AL61" s="1">
        <v>3.0</v>
      </c>
      <c r="AM61" s="1" t="s">
        <v>58</v>
      </c>
    </row>
    <row r="62" ht="15.75" customHeight="1">
      <c r="A62" s="1" t="s">
        <v>582</v>
      </c>
      <c r="B62" s="1" t="s">
        <v>41</v>
      </c>
      <c r="C62" s="1" t="s">
        <v>583</v>
      </c>
      <c r="D62" s="2">
        <v>43269.0</v>
      </c>
      <c r="E62" s="1" t="s">
        <v>584</v>
      </c>
      <c r="F62" s="1" t="s">
        <v>585</v>
      </c>
      <c r="G62" s="1" t="s">
        <v>586</v>
      </c>
      <c r="H62" s="1" t="s">
        <v>587</v>
      </c>
      <c r="L62" s="1" t="s">
        <v>588</v>
      </c>
      <c r="M62" s="1" t="s">
        <v>218</v>
      </c>
      <c r="N62" s="1">
        <v>3169.0</v>
      </c>
      <c r="O62" s="1" t="s">
        <v>49</v>
      </c>
      <c r="P62" s="1">
        <v>4.50260959E8</v>
      </c>
      <c r="Q62" s="1" t="str">
        <f>"450260959"</f>
        <v>450260959</v>
      </c>
      <c r="S62" s="1" t="str">
        <f t="shared" si="19"/>
        <v/>
      </c>
      <c r="T62" s="1">
        <v>6.1450260959E10</v>
      </c>
      <c r="U62" s="1" t="str">
        <f>"61450260959"</f>
        <v>61450260959</v>
      </c>
      <c r="V62" s="1" t="s">
        <v>589</v>
      </c>
      <c r="W62" s="1" t="s">
        <v>70</v>
      </c>
      <c r="Y62" s="1" t="s">
        <v>115</v>
      </c>
      <c r="Z62" s="1" t="s">
        <v>590</v>
      </c>
      <c r="AB62" s="1" t="s">
        <v>54</v>
      </c>
      <c r="AC62" s="1" t="s">
        <v>83</v>
      </c>
      <c r="AD62" s="1">
        <v>2.0</v>
      </c>
      <c r="AE62" s="1" t="s">
        <v>56</v>
      </c>
      <c r="AF62" s="1">
        <v>2.0</v>
      </c>
      <c r="AG62" s="1" t="s">
        <v>583</v>
      </c>
      <c r="AH62" s="2">
        <v>43269.0</v>
      </c>
      <c r="AI62" s="1" t="s">
        <v>321</v>
      </c>
      <c r="AJ62" s="1">
        <v>32.0</v>
      </c>
      <c r="AK62" s="1">
        <v>33.0</v>
      </c>
      <c r="AL62" s="1">
        <v>2.0</v>
      </c>
      <c r="AM62" s="1" t="s">
        <v>58</v>
      </c>
    </row>
    <row r="63" ht="15.75" customHeight="1">
      <c r="A63" s="1" t="s">
        <v>591</v>
      </c>
      <c r="B63" s="1" t="s">
        <v>41</v>
      </c>
      <c r="C63" s="1" t="s">
        <v>592</v>
      </c>
      <c r="D63" s="2">
        <v>43269.0</v>
      </c>
      <c r="E63" s="1" t="s">
        <v>593</v>
      </c>
      <c r="F63" s="1" t="s">
        <v>594</v>
      </c>
      <c r="G63" s="1" t="s">
        <v>595</v>
      </c>
      <c r="H63" s="1" t="s">
        <v>596</v>
      </c>
      <c r="L63" s="1" t="s">
        <v>597</v>
      </c>
      <c r="M63" s="1" t="s">
        <v>579</v>
      </c>
      <c r="N63" s="1">
        <v>3046.0</v>
      </c>
      <c r="O63" s="1" t="s">
        <v>49</v>
      </c>
      <c r="P63" s="1">
        <v>4.50101224E8</v>
      </c>
      <c r="Q63" s="1" t="str">
        <f>"450101224"</f>
        <v>450101224</v>
      </c>
      <c r="S63" s="1" t="str">
        <f t="shared" si="19"/>
        <v/>
      </c>
      <c r="T63" s="1">
        <v>4.50101224E8</v>
      </c>
      <c r="U63" s="1" t="str">
        <f>"0450101224"</f>
        <v>0450101224</v>
      </c>
      <c r="V63" s="1" t="s">
        <v>598</v>
      </c>
      <c r="W63" s="1" t="s">
        <v>51</v>
      </c>
      <c r="Y63" s="1" t="s">
        <v>52</v>
      </c>
      <c r="Z63" s="1" t="s">
        <v>599</v>
      </c>
      <c r="AB63" s="1" t="s">
        <v>54</v>
      </c>
      <c r="AC63" s="1" t="s">
        <v>55</v>
      </c>
      <c r="AD63" s="1">
        <v>3.0</v>
      </c>
      <c r="AE63" s="1" t="s">
        <v>56</v>
      </c>
      <c r="AF63" s="1">
        <v>3.0</v>
      </c>
      <c r="AG63" s="1" t="s">
        <v>592</v>
      </c>
      <c r="AH63" s="2">
        <v>43269.0</v>
      </c>
      <c r="AI63" s="1" t="s">
        <v>490</v>
      </c>
      <c r="AJ63" s="1">
        <v>23.0</v>
      </c>
      <c r="AK63" s="1">
        <v>24.0</v>
      </c>
      <c r="AL63" s="1">
        <v>2.0</v>
      </c>
      <c r="AM63" s="1" t="s">
        <v>58</v>
      </c>
    </row>
    <row r="64" ht="15.75" customHeight="1">
      <c r="A64" s="1" t="s">
        <v>600</v>
      </c>
      <c r="B64" s="1" t="s">
        <v>41</v>
      </c>
      <c r="C64" s="1" t="s">
        <v>302</v>
      </c>
      <c r="D64" s="2">
        <v>43270.0</v>
      </c>
      <c r="E64" s="1" t="s">
        <v>601</v>
      </c>
      <c r="F64" s="1" t="s">
        <v>602</v>
      </c>
      <c r="G64" s="1" t="s">
        <v>603</v>
      </c>
      <c r="H64" s="1" t="s">
        <v>537</v>
      </c>
      <c r="L64" s="1" t="s">
        <v>604</v>
      </c>
      <c r="M64" s="1" t="s">
        <v>605</v>
      </c>
      <c r="N64" s="1">
        <v>3136.0</v>
      </c>
      <c r="O64" s="1" t="s">
        <v>49</v>
      </c>
      <c r="P64" s="1">
        <v>4.22244532E8</v>
      </c>
      <c r="Q64" s="1" t="str">
        <f>"422244532"</f>
        <v>422244532</v>
      </c>
      <c r="S64" s="1" t="str">
        <f t="shared" si="19"/>
        <v/>
      </c>
      <c r="T64" s="1">
        <v>4.11069599E8</v>
      </c>
      <c r="U64" s="1" t="str">
        <f>"0411069599"</f>
        <v>0411069599</v>
      </c>
      <c r="V64" s="1" t="s">
        <v>606</v>
      </c>
      <c r="W64" s="1" t="s">
        <v>51</v>
      </c>
      <c r="Y64" s="1" t="s">
        <v>115</v>
      </c>
      <c r="Z64" s="1" t="s">
        <v>607</v>
      </c>
      <c r="AB64" s="1" t="s">
        <v>54</v>
      </c>
      <c r="AC64" s="1" t="s">
        <v>83</v>
      </c>
      <c r="AD64" s="1">
        <v>3.0</v>
      </c>
      <c r="AE64" s="1" t="s">
        <v>56</v>
      </c>
      <c r="AF64" s="1">
        <v>3.0</v>
      </c>
      <c r="AG64" s="1" t="s">
        <v>302</v>
      </c>
      <c r="AH64" s="2">
        <v>43270.0</v>
      </c>
      <c r="AI64" s="1" t="s">
        <v>268</v>
      </c>
      <c r="AJ64" s="1">
        <v>10.0</v>
      </c>
      <c r="AK64" s="1">
        <v>11.0</v>
      </c>
      <c r="AL64" s="1">
        <v>2.0</v>
      </c>
      <c r="AM64" s="1" t="s">
        <v>58</v>
      </c>
    </row>
    <row r="65" ht="15.75" customHeight="1">
      <c r="A65" s="1" t="s">
        <v>608</v>
      </c>
      <c r="B65" s="1" t="s">
        <v>41</v>
      </c>
      <c r="C65" s="1" t="s">
        <v>609</v>
      </c>
      <c r="D65" s="2">
        <v>43270.0</v>
      </c>
      <c r="E65" s="1" t="s">
        <v>610</v>
      </c>
      <c r="F65" s="1" t="s">
        <v>611</v>
      </c>
      <c r="G65" s="1" t="s">
        <v>612</v>
      </c>
      <c r="H65" s="1" t="s">
        <v>613</v>
      </c>
      <c r="L65" s="1" t="s">
        <v>614</v>
      </c>
      <c r="M65" s="1" t="s">
        <v>146</v>
      </c>
      <c r="N65" s="1">
        <v>3106.0</v>
      </c>
      <c r="O65" s="1" t="s">
        <v>49</v>
      </c>
      <c r="P65" s="1">
        <v>3.98487701E8</v>
      </c>
      <c r="Q65" s="1" t="str">
        <f>"398487701"</f>
        <v>398487701</v>
      </c>
      <c r="S65" s="1" t="str">
        <f t="shared" si="19"/>
        <v/>
      </c>
      <c r="T65" s="1">
        <v>4.10404804E8</v>
      </c>
      <c r="U65" s="1" t="str">
        <f>"0410404804"</f>
        <v>0410404804</v>
      </c>
      <c r="V65" s="1" t="s">
        <v>615</v>
      </c>
      <c r="W65" s="1" t="s">
        <v>51</v>
      </c>
      <c r="Y65" s="1" t="s">
        <v>115</v>
      </c>
      <c r="Z65" s="1" t="s">
        <v>616</v>
      </c>
      <c r="AB65" s="1" t="s">
        <v>54</v>
      </c>
      <c r="AC65" s="1" t="s">
        <v>83</v>
      </c>
      <c r="AD65" s="1">
        <v>4.0</v>
      </c>
      <c r="AE65" s="1" t="s">
        <v>180</v>
      </c>
      <c r="AF65" s="1">
        <v>4.0</v>
      </c>
      <c r="AG65" s="1" t="s">
        <v>609</v>
      </c>
      <c r="AH65" s="2">
        <v>43270.0</v>
      </c>
      <c r="AI65" s="1" t="s">
        <v>57</v>
      </c>
      <c r="AJ65" s="1">
        <v>30.0</v>
      </c>
      <c r="AK65" s="1">
        <v>36.0</v>
      </c>
      <c r="AL65" s="1">
        <v>7.0</v>
      </c>
      <c r="AM65" s="1" t="s">
        <v>58</v>
      </c>
    </row>
    <row r="66" ht="15.75" customHeight="1">
      <c r="A66" s="1" t="s">
        <v>617</v>
      </c>
      <c r="B66" s="1" t="s">
        <v>41</v>
      </c>
      <c r="C66" s="1" t="s">
        <v>618</v>
      </c>
      <c r="D66" s="2">
        <v>43270.0</v>
      </c>
      <c r="E66" s="1" t="s">
        <v>619</v>
      </c>
      <c r="F66" s="1" t="s">
        <v>620</v>
      </c>
      <c r="G66" s="1" t="s">
        <v>621</v>
      </c>
      <c r="H66" s="1" t="s">
        <v>206</v>
      </c>
      <c r="L66" s="1" t="s">
        <v>622</v>
      </c>
      <c r="M66" s="1" t="s">
        <v>146</v>
      </c>
      <c r="N66" s="1">
        <v>3106.0</v>
      </c>
      <c r="O66" s="1" t="s">
        <v>49</v>
      </c>
      <c r="P66" s="1">
        <v>4.8131822E8</v>
      </c>
      <c r="Q66" s="1" t="str">
        <f>"481318220"</f>
        <v>481318220</v>
      </c>
      <c r="S66" s="1" t="str">
        <f t="shared" si="19"/>
        <v/>
      </c>
      <c r="U66" s="1" t="str">
        <f t="shared" ref="U66:U72" si="21">""</f>
        <v/>
      </c>
      <c r="V66" s="1" t="s">
        <v>623</v>
      </c>
      <c r="W66" s="1" t="s">
        <v>70</v>
      </c>
      <c r="Y66" s="1" t="s">
        <v>115</v>
      </c>
      <c r="Z66" s="1" t="s">
        <v>624</v>
      </c>
      <c r="AB66" s="1" t="s">
        <v>54</v>
      </c>
      <c r="AC66" s="1">
        <v>6.0</v>
      </c>
      <c r="AD66" s="1">
        <v>2.0</v>
      </c>
      <c r="AE66" s="1" t="s">
        <v>56</v>
      </c>
      <c r="AF66" s="1">
        <v>2.0</v>
      </c>
      <c r="AG66" s="1" t="s">
        <v>618</v>
      </c>
      <c r="AH66" s="2">
        <v>43270.0</v>
      </c>
      <c r="AI66" s="1" t="s">
        <v>321</v>
      </c>
      <c r="AJ66" s="1">
        <v>8.0</v>
      </c>
      <c r="AK66" s="1">
        <v>10.0</v>
      </c>
      <c r="AL66" s="1">
        <v>3.0</v>
      </c>
      <c r="AM66" s="1" t="s">
        <v>58</v>
      </c>
    </row>
    <row r="67" ht="15.75" customHeight="1">
      <c r="A67" s="1" t="s">
        <v>625</v>
      </c>
      <c r="B67" s="1" t="s">
        <v>41</v>
      </c>
      <c r="C67" s="1" t="s">
        <v>626</v>
      </c>
      <c r="D67" s="2">
        <v>43270.0</v>
      </c>
      <c r="E67" s="1" t="s">
        <v>46</v>
      </c>
      <c r="F67" s="1" t="s">
        <v>46</v>
      </c>
      <c r="G67" s="1" t="s">
        <v>46</v>
      </c>
      <c r="J67" s="1" t="s">
        <v>627</v>
      </c>
      <c r="K67" s="1" t="s">
        <v>628</v>
      </c>
      <c r="L67" s="1" t="s">
        <v>629</v>
      </c>
      <c r="M67" s="1" t="s">
        <v>630</v>
      </c>
      <c r="N67" s="1">
        <v>3166.0</v>
      </c>
      <c r="Q67" s="1" t="str">
        <f t="shared" ref="Q67:Q70" si="22">""</f>
        <v/>
      </c>
      <c r="S67" s="1" t="str">
        <f t="shared" si="19"/>
        <v/>
      </c>
      <c r="U67" s="1" t="str">
        <f t="shared" si="21"/>
        <v/>
      </c>
      <c r="W67" s="1" t="s">
        <v>70</v>
      </c>
      <c r="AB67" s="1" t="s">
        <v>54</v>
      </c>
      <c r="AD67" s="1">
        <v>2.0</v>
      </c>
      <c r="AE67" s="1" t="s">
        <v>56</v>
      </c>
      <c r="AF67" s="1">
        <v>2.0</v>
      </c>
      <c r="AG67" s="1" t="s">
        <v>626</v>
      </c>
      <c r="AH67" s="2">
        <v>43270.0</v>
      </c>
      <c r="AI67" s="1" t="s">
        <v>631</v>
      </c>
      <c r="AJ67" s="1">
        <v>14.0</v>
      </c>
      <c r="AK67" s="1">
        <v>19.0</v>
      </c>
      <c r="AL67" s="1">
        <v>6.0</v>
      </c>
      <c r="AM67" s="1" t="s">
        <v>632</v>
      </c>
    </row>
    <row r="68" ht="15.75" customHeight="1">
      <c r="A68" s="1" t="s">
        <v>625</v>
      </c>
      <c r="B68" s="1" t="s">
        <v>41</v>
      </c>
      <c r="C68" s="1" t="s">
        <v>626</v>
      </c>
      <c r="D68" s="2">
        <v>43270.0</v>
      </c>
      <c r="E68" s="1" t="s">
        <v>46</v>
      </c>
      <c r="F68" s="1" t="s">
        <v>46</v>
      </c>
      <c r="G68" s="1" t="s">
        <v>46</v>
      </c>
      <c r="J68" s="1" t="s">
        <v>627</v>
      </c>
      <c r="K68" s="1" t="s">
        <v>628</v>
      </c>
      <c r="L68" s="1" t="s">
        <v>629</v>
      </c>
      <c r="M68" s="1" t="s">
        <v>630</v>
      </c>
      <c r="N68" s="1">
        <v>3166.0</v>
      </c>
      <c r="Q68" s="1" t="str">
        <f t="shared" si="22"/>
        <v/>
      </c>
      <c r="S68" s="1" t="str">
        <f t="shared" si="19"/>
        <v/>
      </c>
      <c r="U68" s="1" t="str">
        <f t="shared" si="21"/>
        <v/>
      </c>
      <c r="W68" s="1" t="s">
        <v>70</v>
      </c>
      <c r="AB68" s="1" t="s">
        <v>54</v>
      </c>
      <c r="AD68" s="1">
        <v>2.0</v>
      </c>
      <c r="AE68" s="1" t="s">
        <v>56</v>
      </c>
      <c r="AF68" s="1">
        <v>2.0</v>
      </c>
      <c r="AG68" s="1" t="s">
        <v>626</v>
      </c>
      <c r="AH68" s="2">
        <v>43270.0</v>
      </c>
      <c r="AI68" s="1" t="s">
        <v>631</v>
      </c>
      <c r="AJ68" s="1">
        <v>5.0</v>
      </c>
      <c r="AK68" s="1">
        <v>11.0</v>
      </c>
      <c r="AL68" s="1">
        <v>7.0</v>
      </c>
      <c r="AM68" s="1" t="s">
        <v>632</v>
      </c>
    </row>
    <row r="69" ht="15.75" customHeight="1">
      <c r="A69" s="1" t="s">
        <v>625</v>
      </c>
      <c r="B69" s="1" t="s">
        <v>41</v>
      </c>
      <c r="C69" s="1" t="s">
        <v>626</v>
      </c>
      <c r="D69" s="2">
        <v>43270.0</v>
      </c>
      <c r="E69" s="1" t="s">
        <v>46</v>
      </c>
      <c r="F69" s="1" t="s">
        <v>46</v>
      </c>
      <c r="G69" s="1" t="s">
        <v>46</v>
      </c>
      <c r="J69" s="1" t="s">
        <v>627</v>
      </c>
      <c r="K69" s="1" t="s">
        <v>628</v>
      </c>
      <c r="L69" s="1" t="s">
        <v>629</v>
      </c>
      <c r="M69" s="1" t="s">
        <v>630</v>
      </c>
      <c r="N69" s="1">
        <v>3166.0</v>
      </c>
      <c r="Q69" s="1" t="str">
        <f t="shared" si="22"/>
        <v/>
      </c>
      <c r="S69" s="1" t="str">
        <f t="shared" si="19"/>
        <v/>
      </c>
      <c r="U69" s="1" t="str">
        <f t="shared" si="21"/>
        <v/>
      </c>
      <c r="W69" s="1" t="s">
        <v>70</v>
      </c>
      <c r="AB69" s="1" t="s">
        <v>54</v>
      </c>
      <c r="AD69" s="1">
        <v>2.0</v>
      </c>
      <c r="AE69" s="1" t="s">
        <v>56</v>
      </c>
      <c r="AF69" s="1">
        <v>2.0</v>
      </c>
      <c r="AG69" s="1" t="s">
        <v>626</v>
      </c>
      <c r="AH69" s="2">
        <v>43270.0</v>
      </c>
      <c r="AI69" s="1" t="s">
        <v>631</v>
      </c>
      <c r="AJ69" s="1">
        <v>32.0</v>
      </c>
      <c r="AK69" s="1">
        <v>38.0</v>
      </c>
      <c r="AL69" s="1">
        <v>7.0</v>
      </c>
      <c r="AM69" s="1" t="s">
        <v>632</v>
      </c>
    </row>
    <row r="70" ht="15.75" customHeight="1">
      <c r="A70" s="1" t="s">
        <v>633</v>
      </c>
      <c r="B70" s="1" t="s">
        <v>41</v>
      </c>
      <c r="C70" s="1" t="s">
        <v>626</v>
      </c>
      <c r="D70" s="2">
        <v>43270.0</v>
      </c>
      <c r="E70" s="1" t="s">
        <v>634</v>
      </c>
      <c r="F70" s="1" t="s">
        <v>635</v>
      </c>
      <c r="G70" s="1" t="s">
        <v>636</v>
      </c>
      <c r="H70" s="1" t="s">
        <v>186</v>
      </c>
      <c r="J70" s="1" t="s">
        <v>637</v>
      </c>
      <c r="Q70" s="1" t="str">
        <f t="shared" si="22"/>
        <v/>
      </c>
      <c r="S70" s="1" t="str">
        <f t="shared" si="19"/>
        <v/>
      </c>
      <c r="U70" s="1" t="str">
        <f t="shared" si="21"/>
        <v/>
      </c>
      <c r="V70" s="1" t="s">
        <v>638</v>
      </c>
      <c r="W70" s="1" t="s">
        <v>70</v>
      </c>
      <c r="AB70" s="1" t="s">
        <v>54</v>
      </c>
      <c r="AC70" s="1">
        <v>9.0</v>
      </c>
      <c r="AD70" s="1">
        <v>3.0</v>
      </c>
      <c r="AE70" s="1" t="s">
        <v>56</v>
      </c>
      <c r="AF70" s="1">
        <v>3.0</v>
      </c>
      <c r="AG70" s="1" t="s">
        <v>626</v>
      </c>
      <c r="AH70" s="2">
        <v>43270.0</v>
      </c>
      <c r="AI70" s="1" t="s">
        <v>639</v>
      </c>
      <c r="AJ70" s="1">
        <v>14.0</v>
      </c>
      <c r="AK70" s="1">
        <v>29.0</v>
      </c>
      <c r="AL70" s="1">
        <v>16.0</v>
      </c>
      <c r="AM70" s="1" t="s">
        <v>632</v>
      </c>
    </row>
    <row r="71" ht="15.75" customHeight="1">
      <c r="A71" s="1" t="s">
        <v>640</v>
      </c>
      <c r="B71" s="1" t="s">
        <v>41</v>
      </c>
      <c r="C71" s="1" t="s">
        <v>641</v>
      </c>
      <c r="D71" s="2">
        <v>43270.0</v>
      </c>
      <c r="E71" s="1" t="s">
        <v>642</v>
      </c>
      <c r="F71" s="1" t="s">
        <v>643</v>
      </c>
      <c r="G71" s="1" t="s">
        <v>644</v>
      </c>
      <c r="H71" s="1" t="s">
        <v>645</v>
      </c>
      <c r="L71" s="1" t="s">
        <v>646</v>
      </c>
      <c r="M71" s="1" t="s">
        <v>647</v>
      </c>
      <c r="N71" s="1">
        <v>3029.0</v>
      </c>
      <c r="O71" s="1" t="s">
        <v>49</v>
      </c>
      <c r="P71" s="1">
        <v>4.05750653E8</v>
      </c>
      <c r="Q71" s="1" t="str">
        <f>"405750653"</f>
        <v>405750653</v>
      </c>
      <c r="S71" s="1" t="str">
        <f t="shared" si="19"/>
        <v/>
      </c>
      <c r="U71" s="1" t="str">
        <f t="shared" si="21"/>
        <v/>
      </c>
      <c r="V71" s="1" t="s">
        <v>648</v>
      </c>
      <c r="W71" s="1" t="s">
        <v>70</v>
      </c>
      <c r="Y71" s="1" t="s">
        <v>115</v>
      </c>
      <c r="Z71" s="1" t="s">
        <v>649</v>
      </c>
      <c r="AB71" s="1" t="s">
        <v>54</v>
      </c>
      <c r="AC71" s="1" t="s">
        <v>55</v>
      </c>
      <c r="AD71" s="1">
        <v>2.0</v>
      </c>
      <c r="AE71" s="1" t="s">
        <v>56</v>
      </c>
      <c r="AF71" s="1">
        <v>2.0</v>
      </c>
      <c r="AG71" s="1" t="s">
        <v>641</v>
      </c>
      <c r="AH71" s="2">
        <v>43270.0</v>
      </c>
      <c r="AI71" s="1" t="s">
        <v>117</v>
      </c>
      <c r="AJ71" s="1">
        <v>7.0</v>
      </c>
      <c r="AK71" s="1">
        <v>8.0</v>
      </c>
      <c r="AL71" s="1">
        <v>2.0</v>
      </c>
      <c r="AM71" s="1" t="s">
        <v>58</v>
      </c>
    </row>
    <row r="72" ht="15.75" customHeight="1">
      <c r="A72" s="1" t="s">
        <v>650</v>
      </c>
      <c r="B72" s="1" t="s">
        <v>41</v>
      </c>
      <c r="C72" s="1" t="s">
        <v>651</v>
      </c>
      <c r="D72" s="2">
        <v>43270.0</v>
      </c>
      <c r="E72" s="1" t="s">
        <v>652</v>
      </c>
      <c r="F72" s="1" t="s">
        <v>653</v>
      </c>
      <c r="G72" s="1" t="s">
        <v>654</v>
      </c>
      <c r="H72" s="1" t="s">
        <v>655</v>
      </c>
      <c r="L72" s="1" t="s">
        <v>656</v>
      </c>
      <c r="M72" s="1" t="s">
        <v>657</v>
      </c>
      <c r="N72" s="1">
        <v>3183.0</v>
      </c>
      <c r="O72" s="1" t="s">
        <v>49</v>
      </c>
      <c r="P72" s="1">
        <v>4.15264526E8</v>
      </c>
      <c r="Q72" s="1" t="str">
        <f>"415264526"</f>
        <v>415264526</v>
      </c>
      <c r="S72" s="1" t="str">
        <f t="shared" si="19"/>
        <v/>
      </c>
      <c r="U72" s="1" t="str">
        <f t="shared" si="21"/>
        <v/>
      </c>
      <c r="V72" s="1" t="s">
        <v>658</v>
      </c>
      <c r="W72" s="1" t="s">
        <v>70</v>
      </c>
      <c r="Y72" s="1" t="s">
        <v>115</v>
      </c>
      <c r="Z72" s="1" t="s">
        <v>659</v>
      </c>
      <c r="AB72" s="1" t="s">
        <v>54</v>
      </c>
      <c r="AC72" s="1" t="s">
        <v>55</v>
      </c>
      <c r="AD72" s="1">
        <v>4.0</v>
      </c>
      <c r="AE72" s="1" t="s">
        <v>180</v>
      </c>
      <c r="AF72" s="1">
        <v>4.0</v>
      </c>
      <c r="AG72" s="1" t="s">
        <v>651</v>
      </c>
      <c r="AH72" s="2">
        <v>43270.0</v>
      </c>
      <c r="AI72" s="1" t="s">
        <v>72</v>
      </c>
      <c r="AJ72" s="1">
        <v>28.0</v>
      </c>
      <c r="AK72" s="1">
        <v>29.0</v>
      </c>
      <c r="AL72" s="1">
        <v>2.0</v>
      </c>
      <c r="AM72" s="1" t="s">
        <v>58</v>
      </c>
    </row>
    <row r="73" ht="15.75" customHeight="1">
      <c r="A73" s="1" t="s">
        <v>660</v>
      </c>
      <c r="B73" s="1" t="s">
        <v>41</v>
      </c>
      <c r="C73" s="1" t="s">
        <v>661</v>
      </c>
      <c r="D73" s="2">
        <v>43270.0</v>
      </c>
      <c r="E73" s="1" t="s">
        <v>662</v>
      </c>
      <c r="F73" s="1" t="s">
        <v>663</v>
      </c>
      <c r="G73" s="1" t="s">
        <v>664</v>
      </c>
      <c r="H73" s="1" t="s">
        <v>665</v>
      </c>
      <c r="L73" s="1" t="s">
        <v>666</v>
      </c>
      <c r="M73" s="1" t="s">
        <v>667</v>
      </c>
      <c r="N73" s="1">
        <v>3033.0</v>
      </c>
      <c r="O73" s="1" t="s">
        <v>49</v>
      </c>
      <c r="P73" s="1">
        <v>4.14396247E8</v>
      </c>
      <c r="Q73" s="1" t="str">
        <f>"414396247"</f>
        <v>414396247</v>
      </c>
      <c r="S73" s="1" t="str">
        <f t="shared" si="19"/>
        <v/>
      </c>
      <c r="T73" s="1">
        <v>4.14396247E8</v>
      </c>
      <c r="U73" s="1" t="str">
        <f>"0414396247"</f>
        <v>0414396247</v>
      </c>
      <c r="V73" s="1" t="s">
        <v>668</v>
      </c>
      <c r="W73" s="1" t="s">
        <v>51</v>
      </c>
      <c r="Y73" s="1" t="s">
        <v>52</v>
      </c>
      <c r="Z73" s="1" t="s">
        <v>669</v>
      </c>
      <c r="AB73" s="1" t="s">
        <v>54</v>
      </c>
      <c r="AC73" s="1" t="s">
        <v>55</v>
      </c>
      <c r="AD73" s="1">
        <v>3.0</v>
      </c>
      <c r="AE73" s="1" t="s">
        <v>56</v>
      </c>
      <c r="AF73" s="1">
        <v>3.0</v>
      </c>
      <c r="AG73" s="1" t="s">
        <v>661</v>
      </c>
      <c r="AH73" s="2">
        <v>43270.0</v>
      </c>
      <c r="AI73" s="1" t="s">
        <v>670</v>
      </c>
      <c r="AJ73" s="1">
        <v>23.0</v>
      </c>
      <c r="AK73" s="1">
        <v>29.0</v>
      </c>
      <c r="AL73" s="1">
        <v>7.0</v>
      </c>
      <c r="AM73" s="1" t="s">
        <v>58</v>
      </c>
    </row>
    <row r="74" ht="15.75" customHeight="1">
      <c r="A74" s="1" t="s">
        <v>671</v>
      </c>
      <c r="B74" s="1" t="s">
        <v>41</v>
      </c>
      <c r="C74" s="1" t="s">
        <v>672</v>
      </c>
      <c r="D74" s="2">
        <v>43271.0</v>
      </c>
      <c r="E74" s="1" t="s">
        <v>601</v>
      </c>
      <c r="F74" s="1" t="s">
        <v>602</v>
      </c>
      <c r="G74" s="1" t="s">
        <v>603</v>
      </c>
      <c r="H74" s="1" t="s">
        <v>537</v>
      </c>
      <c r="L74" s="1" t="s">
        <v>604</v>
      </c>
      <c r="M74" s="1" t="s">
        <v>605</v>
      </c>
      <c r="N74" s="1">
        <v>3136.0</v>
      </c>
      <c r="O74" s="1" t="s">
        <v>49</v>
      </c>
      <c r="P74" s="1">
        <v>4.22244532E8</v>
      </c>
      <c r="Q74" s="1" t="str">
        <f>"422244532"</f>
        <v>422244532</v>
      </c>
      <c r="S74" s="1" t="str">
        <f t="shared" si="19"/>
        <v/>
      </c>
      <c r="T74" s="1">
        <v>4.11069599E8</v>
      </c>
      <c r="U74" s="1" t="str">
        <f>"0411069599"</f>
        <v>0411069599</v>
      </c>
      <c r="V74" s="1" t="s">
        <v>606</v>
      </c>
      <c r="W74" s="1" t="s">
        <v>51</v>
      </c>
      <c r="Y74" s="1" t="s">
        <v>115</v>
      </c>
      <c r="Z74" s="1" t="s">
        <v>607</v>
      </c>
      <c r="AB74" s="1" t="s">
        <v>54</v>
      </c>
      <c r="AC74" s="1" t="s">
        <v>83</v>
      </c>
      <c r="AD74" s="1">
        <v>3.0</v>
      </c>
      <c r="AE74" s="1" t="s">
        <v>56</v>
      </c>
      <c r="AF74" s="1">
        <v>3.0</v>
      </c>
      <c r="AG74" s="1" t="s">
        <v>672</v>
      </c>
      <c r="AH74" s="2">
        <v>43271.0</v>
      </c>
      <c r="AI74" s="1" t="s">
        <v>268</v>
      </c>
      <c r="AJ74" s="1">
        <v>9.0</v>
      </c>
      <c r="AK74" s="1">
        <v>9.0</v>
      </c>
      <c r="AL74" s="1">
        <v>1.0</v>
      </c>
      <c r="AM74" s="1" t="s">
        <v>58</v>
      </c>
    </row>
    <row r="75" ht="15.75" customHeight="1">
      <c r="A75" s="1" t="s">
        <v>673</v>
      </c>
      <c r="B75" s="1" t="s">
        <v>41</v>
      </c>
      <c r="C75" s="1" t="s">
        <v>674</v>
      </c>
      <c r="D75" s="2">
        <v>43271.0</v>
      </c>
      <c r="E75" s="1" t="s">
        <v>675</v>
      </c>
      <c r="F75" s="1" t="s">
        <v>676</v>
      </c>
      <c r="G75" s="1" t="s">
        <v>677</v>
      </c>
      <c r="H75" s="1" t="s">
        <v>678</v>
      </c>
      <c r="L75" s="1" t="s">
        <v>679</v>
      </c>
      <c r="M75" s="1" t="s">
        <v>680</v>
      </c>
      <c r="N75" s="1">
        <v>3032.0</v>
      </c>
      <c r="O75" s="1" t="s">
        <v>49</v>
      </c>
      <c r="P75" s="1">
        <v>4.68581853E8</v>
      </c>
      <c r="Q75" s="1" t="str">
        <f>"468581853"</f>
        <v>468581853</v>
      </c>
      <c r="S75" s="1" t="str">
        <f t="shared" si="19"/>
        <v/>
      </c>
      <c r="T75" s="1">
        <v>4.68581853E8</v>
      </c>
      <c r="U75" s="1" t="str">
        <f>"0468581853"</f>
        <v>0468581853</v>
      </c>
      <c r="V75" s="1" t="s">
        <v>681</v>
      </c>
      <c r="W75" s="1" t="s">
        <v>70</v>
      </c>
      <c r="Y75" s="1" t="s">
        <v>52</v>
      </c>
      <c r="Z75" s="1" t="s">
        <v>682</v>
      </c>
      <c r="AB75" s="1" t="s">
        <v>54</v>
      </c>
      <c r="AC75" s="1" t="s">
        <v>55</v>
      </c>
      <c r="AD75" s="1">
        <v>3.0</v>
      </c>
      <c r="AE75" s="1" t="s">
        <v>56</v>
      </c>
      <c r="AF75" s="1">
        <v>3.0</v>
      </c>
      <c r="AG75" s="1" t="s">
        <v>674</v>
      </c>
      <c r="AH75" s="2">
        <v>43271.0</v>
      </c>
      <c r="AI75" s="1" t="s">
        <v>268</v>
      </c>
      <c r="AJ75" s="1">
        <v>23.0</v>
      </c>
      <c r="AK75" s="1">
        <v>23.0</v>
      </c>
      <c r="AL75" s="1">
        <v>1.0</v>
      </c>
      <c r="AM75" s="1" t="s">
        <v>58</v>
      </c>
    </row>
    <row r="76" ht="15.75" customHeight="1">
      <c r="A76" s="1" t="s">
        <v>683</v>
      </c>
      <c r="B76" s="1" t="s">
        <v>41</v>
      </c>
      <c r="C76" s="1" t="s">
        <v>609</v>
      </c>
      <c r="D76" s="2">
        <v>43271.0</v>
      </c>
      <c r="E76" s="1" t="s">
        <v>684</v>
      </c>
      <c r="F76" s="1" t="s">
        <v>685</v>
      </c>
      <c r="G76" s="1" t="s">
        <v>686</v>
      </c>
      <c r="H76" s="1" t="s">
        <v>687</v>
      </c>
      <c r="L76" s="1" t="s">
        <v>688</v>
      </c>
      <c r="M76" s="1" t="s">
        <v>487</v>
      </c>
      <c r="N76" s="1">
        <v>3006.0</v>
      </c>
      <c r="O76" s="1" t="s">
        <v>49</v>
      </c>
      <c r="P76" s="1">
        <v>4.52492026E8</v>
      </c>
      <c r="Q76" s="1" t="str">
        <f>"452492026"</f>
        <v>452492026</v>
      </c>
      <c r="S76" s="1" t="str">
        <f t="shared" si="19"/>
        <v/>
      </c>
      <c r="U76" s="1" t="str">
        <f t="shared" ref="U76:U79" si="23">""</f>
        <v/>
      </c>
      <c r="V76" s="1" t="s">
        <v>689</v>
      </c>
      <c r="W76" s="1" t="s">
        <v>51</v>
      </c>
      <c r="X76" s="1" t="s">
        <v>230</v>
      </c>
      <c r="Y76" s="1" t="s">
        <v>115</v>
      </c>
      <c r="Z76" s="1" t="s">
        <v>690</v>
      </c>
      <c r="AB76" s="1" t="s">
        <v>54</v>
      </c>
      <c r="AC76" s="1" t="s">
        <v>55</v>
      </c>
      <c r="AD76" s="1">
        <v>3.0</v>
      </c>
      <c r="AE76" s="1" t="s">
        <v>56</v>
      </c>
      <c r="AF76" s="1">
        <v>3.0</v>
      </c>
      <c r="AG76" s="1" t="s">
        <v>609</v>
      </c>
      <c r="AH76" s="2">
        <v>43271.0</v>
      </c>
      <c r="AI76" s="1" t="s">
        <v>440</v>
      </c>
      <c r="AJ76" s="1">
        <v>15.0</v>
      </c>
      <c r="AK76" s="1">
        <v>16.0</v>
      </c>
      <c r="AL76" s="1">
        <v>2.0</v>
      </c>
      <c r="AM76" s="1" t="s">
        <v>58</v>
      </c>
    </row>
    <row r="77" ht="15.75" customHeight="1">
      <c r="A77" s="1" t="s">
        <v>691</v>
      </c>
      <c r="B77" s="1" t="s">
        <v>41</v>
      </c>
      <c r="C77" s="1" t="s">
        <v>692</v>
      </c>
      <c r="D77" s="2">
        <v>43272.0</v>
      </c>
      <c r="E77" s="1" t="s">
        <v>693</v>
      </c>
      <c r="F77" s="1" t="s">
        <v>694</v>
      </c>
      <c r="G77" s="1" t="s">
        <v>695</v>
      </c>
      <c r="H77" s="1" t="s">
        <v>696</v>
      </c>
      <c r="L77" s="1" t="s">
        <v>697</v>
      </c>
      <c r="M77" s="1" t="s">
        <v>698</v>
      </c>
      <c r="N77" s="1">
        <v>3204.0</v>
      </c>
      <c r="O77" s="1" t="s">
        <v>49</v>
      </c>
      <c r="P77" s="1">
        <v>4.3419189E8</v>
      </c>
      <c r="Q77" s="1" t="str">
        <f>"434191890"</f>
        <v>434191890</v>
      </c>
      <c r="S77" s="1" t="str">
        <f t="shared" si="19"/>
        <v/>
      </c>
      <c r="U77" s="1" t="str">
        <f t="shared" si="23"/>
        <v/>
      </c>
      <c r="V77" s="1" t="s">
        <v>699</v>
      </c>
      <c r="W77" s="1" t="s">
        <v>70</v>
      </c>
      <c r="Y77" s="1" t="s">
        <v>115</v>
      </c>
      <c r="Z77" s="1" t="s">
        <v>700</v>
      </c>
      <c r="AB77" s="1" t="s">
        <v>54</v>
      </c>
      <c r="AC77" s="1" t="s">
        <v>55</v>
      </c>
      <c r="AD77" s="1">
        <v>2.0</v>
      </c>
      <c r="AE77" s="1" t="s">
        <v>56</v>
      </c>
      <c r="AF77" s="1">
        <v>2.0</v>
      </c>
      <c r="AG77" s="1" t="s">
        <v>692</v>
      </c>
      <c r="AH77" s="2">
        <v>43272.0</v>
      </c>
      <c r="AI77" s="1" t="s">
        <v>321</v>
      </c>
      <c r="AJ77" s="1">
        <v>34.0</v>
      </c>
      <c r="AK77" s="1">
        <v>35.0</v>
      </c>
      <c r="AL77" s="1">
        <v>2.0</v>
      </c>
      <c r="AM77" s="1" t="s">
        <v>58</v>
      </c>
    </row>
    <row r="78" ht="15.75" customHeight="1">
      <c r="A78" s="1" t="s">
        <v>701</v>
      </c>
      <c r="B78" s="1" t="s">
        <v>41</v>
      </c>
      <c r="C78" s="1" t="s">
        <v>702</v>
      </c>
      <c r="D78" s="2">
        <v>43272.0</v>
      </c>
      <c r="E78" s="1" t="s">
        <v>703</v>
      </c>
      <c r="F78" s="1" t="s">
        <v>704</v>
      </c>
      <c r="G78" s="1" t="s">
        <v>705</v>
      </c>
      <c r="H78" s="1" t="s">
        <v>706</v>
      </c>
      <c r="L78" s="1" t="s">
        <v>707</v>
      </c>
      <c r="M78" s="1" t="s">
        <v>708</v>
      </c>
      <c r="N78" s="1">
        <v>3125.0</v>
      </c>
      <c r="O78" s="1" t="s">
        <v>49</v>
      </c>
      <c r="P78" s="1">
        <v>4.3109234E8</v>
      </c>
      <c r="Q78" s="1" t="str">
        <f>"431092340"</f>
        <v>431092340</v>
      </c>
      <c r="S78" s="1" t="str">
        <f t="shared" si="19"/>
        <v/>
      </c>
      <c r="U78" s="1" t="str">
        <f t="shared" si="23"/>
        <v/>
      </c>
      <c r="V78" s="1" t="s">
        <v>709</v>
      </c>
      <c r="W78" s="1" t="s">
        <v>70</v>
      </c>
      <c r="X78" s="1" t="s">
        <v>710</v>
      </c>
      <c r="Y78" s="1" t="s">
        <v>115</v>
      </c>
      <c r="Z78" s="1" t="s">
        <v>711</v>
      </c>
      <c r="AB78" s="1" t="s">
        <v>54</v>
      </c>
      <c r="AC78" s="1" t="s">
        <v>55</v>
      </c>
      <c r="AD78" s="1">
        <v>3.0</v>
      </c>
      <c r="AE78" s="1" t="s">
        <v>56</v>
      </c>
      <c r="AF78" s="1">
        <v>3.0</v>
      </c>
      <c r="AG78" s="1" t="s">
        <v>702</v>
      </c>
      <c r="AH78" s="2">
        <v>43272.0</v>
      </c>
      <c r="AI78" s="1" t="s">
        <v>268</v>
      </c>
      <c r="AJ78" s="1">
        <v>19.0</v>
      </c>
      <c r="AK78" s="1">
        <v>22.0</v>
      </c>
      <c r="AL78" s="1">
        <v>4.0</v>
      </c>
      <c r="AM78" s="1" t="s">
        <v>58</v>
      </c>
    </row>
    <row r="79" ht="15.75" customHeight="1">
      <c r="A79" s="1" t="s">
        <v>712</v>
      </c>
      <c r="B79" s="1" t="s">
        <v>41</v>
      </c>
      <c r="C79" s="1" t="s">
        <v>713</v>
      </c>
      <c r="D79" s="2">
        <v>43272.0</v>
      </c>
      <c r="E79" s="1" t="s">
        <v>714</v>
      </c>
      <c r="F79" s="1" t="s">
        <v>715</v>
      </c>
      <c r="G79" s="1" t="s">
        <v>716</v>
      </c>
      <c r="H79" s="1" t="s">
        <v>717</v>
      </c>
      <c r="L79" s="1" t="s">
        <v>718</v>
      </c>
      <c r="M79" s="1" t="s">
        <v>719</v>
      </c>
      <c r="N79" s="1">
        <v>3058.0</v>
      </c>
      <c r="O79" s="1" t="s">
        <v>49</v>
      </c>
      <c r="P79" s="1">
        <v>4.11040708E8</v>
      </c>
      <c r="Q79" s="1" t="str">
        <f>"411040708"</f>
        <v>411040708</v>
      </c>
      <c r="S79" s="1" t="str">
        <f t="shared" si="19"/>
        <v/>
      </c>
      <c r="U79" s="1" t="str">
        <f t="shared" si="23"/>
        <v/>
      </c>
      <c r="V79" s="1" t="s">
        <v>720</v>
      </c>
      <c r="W79" s="1" t="s">
        <v>70</v>
      </c>
      <c r="Y79" s="1" t="s">
        <v>115</v>
      </c>
      <c r="Z79" s="1" t="s">
        <v>721</v>
      </c>
      <c r="AB79" s="1" t="s">
        <v>54</v>
      </c>
      <c r="AC79" s="1" t="s">
        <v>55</v>
      </c>
      <c r="AD79" s="1">
        <v>3.0</v>
      </c>
      <c r="AE79" s="1" t="s">
        <v>56</v>
      </c>
      <c r="AF79" s="1">
        <v>3.0</v>
      </c>
      <c r="AG79" s="1" t="s">
        <v>713</v>
      </c>
      <c r="AH79" s="2">
        <v>43272.0</v>
      </c>
      <c r="AI79" s="1" t="s">
        <v>440</v>
      </c>
      <c r="AJ79" s="1">
        <v>27.0</v>
      </c>
      <c r="AK79" s="1">
        <v>28.0</v>
      </c>
      <c r="AL79" s="1">
        <v>2.0</v>
      </c>
      <c r="AM79" s="1" t="s">
        <v>58</v>
      </c>
    </row>
    <row r="80" ht="15.75" customHeight="1">
      <c r="A80" s="1" t="s">
        <v>722</v>
      </c>
      <c r="B80" s="1" t="s">
        <v>41</v>
      </c>
      <c r="C80" s="1" t="s">
        <v>573</v>
      </c>
      <c r="D80" s="2">
        <v>43272.0</v>
      </c>
      <c r="E80" s="1" t="s">
        <v>723</v>
      </c>
      <c r="F80" s="1" t="s">
        <v>724</v>
      </c>
      <c r="G80" s="1" t="s">
        <v>725</v>
      </c>
      <c r="H80" s="1" t="s">
        <v>726</v>
      </c>
      <c r="L80" s="1" t="s">
        <v>727</v>
      </c>
      <c r="M80" s="1" t="s">
        <v>388</v>
      </c>
      <c r="N80" s="1">
        <v>3111.0</v>
      </c>
      <c r="O80" s="1" t="s">
        <v>49</v>
      </c>
      <c r="P80" s="1">
        <v>4.02643644E8</v>
      </c>
      <c r="Q80" s="1" t="str">
        <f>"402643644"</f>
        <v>402643644</v>
      </c>
      <c r="S80" s="1" t="str">
        <f t="shared" si="19"/>
        <v/>
      </c>
      <c r="T80" s="1">
        <v>4.02643644E8</v>
      </c>
      <c r="U80" s="1" t="str">
        <f>"0402643644"</f>
        <v>0402643644</v>
      </c>
      <c r="V80" s="1" t="s">
        <v>728</v>
      </c>
      <c r="W80" s="1" t="s">
        <v>51</v>
      </c>
      <c r="Y80" s="1" t="s">
        <v>115</v>
      </c>
      <c r="Z80" s="1" t="s">
        <v>729</v>
      </c>
      <c r="AB80" s="1" t="s">
        <v>54</v>
      </c>
      <c r="AC80" s="1" t="s">
        <v>55</v>
      </c>
      <c r="AD80" s="1">
        <v>3.0</v>
      </c>
      <c r="AE80" s="1" t="s">
        <v>56</v>
      </c>
      <c r="AF80" s="1">
        <v>3.0</v>
      </c>
      <c r="AG80" s="1" t="s">
        <v>573</v>
      </c>
      <c r="AH80" s="2">
        <v>43272.0</v>
      </c>
      <c r="AI80" s="1" t="s">
        <v>268</v>
      </c>
      <c r="AJ80" s="1">
        <v>32.0</v>
      </c>
      <c r="AK80" s="1">
        <v>39.0</v>
      </c>
      <c r="AL80" s="1">
        <v>8.0</v>
      </c>
      <c r="AM80" s="1" t="s">
        <v>58</v>
      </c>
    </row>
    <row r="81" ht="15.75" customHeight="1">
      <c r="A81" s="1" t="s">
        <v>730</v>
      </c>
      <c r="B81" s="1" t="s">
        <v>41</v>
      </c>
      <c r="C81" s="1" t="s">
        <v>731</v>
      </c>
      <c r="D81" s="2">
        <v>43273.0</v>
      </c>
      <c r="E81" s="1" t="s">
        <v>732</v>
      </c>
      <c r="F81" s="1" t="s">
        <v>733</v>
      </c>
      <c r="G81" s="1" t="s">
        <v>734</v>
      </c>
      <c r="H81" s="1" t="s">
        <v>735</v>
      </c>
      <c r="L81" s="1" t="s">
        <v>736</v>
      </c>
      <c r="M81" s="1" t="s">
        <v>569</v>
      </c>
      <c r="N81" s="1">
        <v>3108.0</v>
      </c>
      <c r="O81" s="1" t="s">
        <v>49</v>
      </c>
      <c r="P81" s="1">
        <v>4.32104789E8</v>
      </c>
      <c r="Q81" s="1" t="str">
        <f>"432104789"</f>
        <v>432104789</v>
      </c>
      <c r="S81" s="1" t="str">
        <f t="shared" si="19"/>
        <v/>
      </c>
      <c r="U81" s="1" t="str">
        <f t="shared" ref="U81:U82" si="24">""</f>
        <v/>
      </c>
      <c r="V81" s="1" t="s">
        <v>737</v>
      </c>
      <c r="W81" s="1" t="s">
        <v>51</v>
      </c>
      <c r="Y81" s="1" t="s">
        <v>52</v>
      </c>
      <c r="Z81" s="1" t="s">
        <v>738</v>
      </c>
      <c r="AB81" s="1" t="s">
        <v>54</v>
      </c>
      <c r="AC81" s="1" t="s">
        <v>55</v>
      </c>
      <c r="AD81" s="1">
        <v>4.0</v>
      </c>
      <c r="AE81" s="1" t="s">
        <v>180</v>
      </c>
      <c r="AF81" s="1">
        <v>4.0</v>
      </c>
      <c r="AG81" s="1" t="s">
        <v>731</v>
      </c>
      <c r="AH81" s="2">
        <v>43273.0</v>
      </c>
      <c r="AI81" s="1" t="s">
        <v>57</v>
      </c>
      <c r="AJ81" s="1">
        <v>6.0</v>
      </c>
      <c r="AK81" s="1">
        <v>7.0</v>
      </c>
      <c r="AL81" s="1">
        <v>2.0</v>
      </c>
      <c r="AM81" s="1" t="s">
        <v>58</v>
      </c>
    </row>
    <row r="82" ht="15.75" customHeight="1">
      <c r="A82" s="1" t="s">
        <v>739</v>
      </c>
      <c r="B82" s="1" t="s">
        <v>41</v>
      </c>
      <c r="C82" s="1" t="s">
        <v>740</v>
      </c>
      <c r="D82" s="2">
        <v>43273.0</v>
      </c>
      <c r="E82" s="1" t="s">
        <v>741</v>
      </c>
      <c r="F82" s="1" t="s">
        <v>742</v>
      </c>
      <c r="G82" s="1" t="s">
        <v>743</v>
      </c>
      <c r="H82" s="1" t="s">
        <v>237</v>
      </c>
      <c r="L82" s="1" t="s">
        <v>744</v>
      </c>
      <c r="M82" s="1" t="s">
        <v>745</v>
      </c>
      <c r="N82" s="1">
        <v>3051.0</v>
      </c>
      <c r="O82" s="1" t="s">
        <v>49</v>
      </c>
      <c r="P82" s="1">
        <v>4.5165304E8</v>
      </c>
      <c r="Q82" s="1" t="str">
        <f>"451653040"</f>
        <v>451653040</v>
      </c>
      <c r="S82" s="1" t="str">
        <f t="shared" si="19"/>
        <v/>
      </c>
      <c r="U82" s="1" t="str">
        <f t="shared" si="24"/>
        <v/>
      </c>
      <c r="V82" s="1" t="s">
        <v>746</v>
      </c>
      <c r="W82" s="1" t="s">
        <v>70</v>
      </c>
      <c r="Y82" s="1" t="s">
        <v>52</v>
      </c>
      <c r="Z82" s="1" t="s">
        <v>747</v>
      </c>
      <c r="AB82" s="1" t="s">
        <v>54</v>
      </c>
      <c r="AC82" s="1" t="s">
        <v>55</v>
      </c>
      <c r="AD82" s="1">
        <v>2.0</v>
      </c>
      <c r="AE82" s="1" t="s">
        <v>56</v>
      </c>
      <c r="AF82" s="1">
        <v>2.0</v>
      </c>
      <c r="AG82" s="1" t="s">
        <v>740</v>
      </c>
      <c r="AH82" s="2">
        <v>43273.0</v>
      </c>
      <c r="AI82" s="1" t="s">
        <v>117</v>
      </c>
      <c r="AJ82" s="1">
        <v>5.0</v>
      </c>
      <c r="AK82" s="1">
        <v>6.0</v>
      </c>
      <c r="AL82" s="1">
        <v>2.0</v>
      </c>
      <c r="AM82" s="1" t="s">
        <v>58</v>
      </c>
    </row>
    <row r="83" ht="15.75" customHeight="1">
      <c r="A83" s="1" t="s">
        <v>748</v>
      </c>
      <c r="B83" s="1" t="s">
        <v>41</v>
      </c>
      <c r="C83" s="1" t="s">
        <v>749</v>
      </c>
      <c r="D83" s="2">
        <v>43273.0</v>
      </c>
      <c r="E83" s="1" t="s">
        <v>750</v>
      </c>
      <c r="F83" s="1" t="s">
        <v>751</v>
      </c>
      <c r="G83" s="1" t="s">
        <v>752</v>
      </c>
      <c r="H83" s="1" t="s">
        <v>753</v>
      </c>
      <c r="L83" s="1" t="s">
        <v>754</v>
      </c>
      <c r="M83" s="1" t="s">
        <v>368</v>
      </c>
      <c r="N83" s="1">
        <v>3109.0</v>
      </c>
      <c r="O83" s="1" t="s">
        <v>49</v>
      </c>
      <c r="P83" s="1">
        <v>3.81031223E8</v>
      </c>
      <c r="Q83" s="1" t="str">
        <f>"381031223"</f>
        <v>381031223</v>
      </c>
      <c r="S83" s="1" t="str">
        <f t="shared" si="19"/>
        <v/>
      </c>
      <c r="T83" s="1">
        <v>4.78101353E8</v>
      </c>
      <c r="U83" s="1" t="str">
        <f>"0478101353"</f>
        <v>0478101353</v>
      </c>
      <c r="V83" s="1" t="s">
        <v>755</v>
      </c>
      <c r="W83" s="1" t="s">
        <v>51</v>
      </c>
      <c r="Y83" s="1" t="s">
        <v>115</v>
      </c>
      <c r="Z83" s="1" t="s">
        <v>756</v>
      </c>
      <c r="AB83" s="1" t="s">
        <v>54</v>
      </c>
      <c r="AC83" s="1" t="s">
        <v>55</v>
      </c>
      <c r="AD83" s="1">
        <v>3.0</v>
      </c>
      <c r="AE83" s="1" t="s">
        <v>56</v>
      </c>
      <c r="AF83" s="1">
        <v>3.0</v>
      </c>
      <c r="AG83" s="1" t="s">
        <v>749</v>
      </c>
      <c r="AH83" s="2">
        <v>43273.0</v>
      </c>
      <c r="AI83" s="1" t="s">
        <v>268</v>
      </c>
      <c r="AJ83" s="1">
        <v>2.0</v>
      </c>
      <c r="AK83" s="1">
        <v>8.0</v>
      </c>
      <c r="AL83" s="1">
        <v>7.0</v>
      </c>
      <c r="AM83" s="1" t="s">
        <v>58</v>
      </c>
    </row>
    <row r="84" ht="15.75" customHeight="1">
      <c r="A84" s="1" t="s">
        <v>757</v>
      </c>
      <c r="B84" s="1" t="s">
        <v>41</v>
      </c>
      <c r="C84" s="1" t="s">
        <v>758</v>
      </c>
      <c r="D84" s="2">
        <v>43274.0</v>
      </c>
      <c r="E84" s="1" t="s">
        <v>759</v>
      </c>
      <c r="F84" s="1" t="s">
        <v>760</v>
      </c>
      <c r="G84" s="1" t="s">
        <v>761</v>
      </c>
      <c r="H84" s="1" t="s">
        <v>762</v>
      </c>
      <c r="L84" s="1" t="s">
        <v>763</v>
      </c>
      <c r="M84" s="1" t="s">
        <v>329</v>
      </c>
      <c r="N84" s="1">
        <v>3150.0</v>
      </c>
      <c r="O84" s="1" t="s">
        <v>49</v>
      </c>
      <c r="P84" s="1">
        <v>4.15116023E8</v>
      </c>
      <c r="Q84" s="1" t="str">
        <f>"415116023"</f>
        <v>415116023</v>
      </c>
      <c r="S84" s="1" t="str">
        <f t="shared" si="19"/>
        <v/>
      </c>
      <c r="U84" s="1" t="str">
        <f>""</f>
        <v/>
      </c>
      <c r="V84" s="1" t="s">
        <v>764</v>
      </c>
      <c r="W84" s="1" t="s">
        <v>70</v>
      </c>
      <c r="Y84" s="1" t="s">
        <v>52</v>
      </c>
      <c r="Z84" s="1" t="s">
        <v>765</v>
      </c>
      <c r="AB84" s="1" t="s">
        <v>54</v>
      </c>
      <c r="AC84" s="1" t="s">
        <v>55</v>
      </c>
      <c r="AD84" s="1">
        <v>3.0</v>
      </c>
      <c r="AE84" s="1" t="s">
        <v>56</v>
      </c>
      <c r="AF84" s="1">
        <v>3.0</v>
      </c>
      <c r="AG84" s="1" t="s">
        <v>758</v>
      </c>
      <c r="AH84" s="2">
        <v>43274.0</v>
      </c>
      <c r="AI84" s="1" t="s">
        <v>670</v>
      </c>
      <c r="AJ84" s="1">
        <v>21.0</v>
      </c>
      <c r="AK84" s="1">
        <v>22.0</v>
      </c>
      <c r="AL84" s="1">
        <v>2.0</v>
      </c>
      <c r="AM84" s="1" t="s">
        <v>58</v>
      </c>
    </row>
    <row r="85" ht="15.75" customHeight="1">
      <c r="A85" s="1" t="s">
        <v>766</v>
      </c>
      <c r="B85" s="1" t="s">
        <v>41</v>
      </c>
      <c r="C85" s="1" t="s">
        <v>767</v>
      </c>
      <c r="D85" s="2">
        <v>43274.0</v>
      </c>
      <c r="E85" s="1" t="s">
        <v>768</v>
      </c>
      <c r="F85" s="1" t="s">
        <v>769</v>
      </c>
      <c r="G85" s="1" t="s">
        <v>395</v>
      </c>
      <c r="H85" s="1" t="s">
        <v>770</v>
      </c>
      <c r="L85" s="1" t="s">
        <v>771</v>
      </c>
      <c r="M85" s="1" t="s">
        <v>378</v>
      </c>
      <c r="N85" s="1">
        <v>3101.0</v>
      </c>
      <c r="O85" s="1" t="s">
        <v>49</v>
      </c>
      <c r="P85" s="1">
        <v>4.1436835E8</v>
      </c>
      <c r="Q85" s="1" t="str">
        <f>"414368350"</f>
        <v>414368350</v>
      </c>
      <c r="S85" s="1" t="str">
        <f t="shared" si="19"/>
        <v/>
      </c>
      <c r="T85" s="1">
        <v>4.1436835E8</v>
      </c>
      <c r="U85" s="1" t="str">
        <f>"0414368350"</f>
        <v>0414368350</v>
      </c>
      <c r="V85" s="1" t="s">
        <v>772</v>
      </c>
      <c r="W85" s="1" t="s">
        <v>51</v>
      </c>
      <c r="Y85" s="1" t="s">
        <v>115</v>
      </c>
      <c r="Z85" s="1" t="s">
        <v>773</v>
      </c>
      <c r="AB85" s="1" t="s">
        <v>54</v>
      </c>
      <c r="AC85" s="1" t="s">
        <v>55</v>
      </c>
      <c r="AD85" s="1">
        <v>2.0</v>
      </c>
      <c r="AE85" s="1" t="s">
        <v>56</v>
      </c>
      <c r="AF85" s="1">
        <v>2.0</v>
      </c>
      <c r="AG85" s="1" t="s">
        <v>767</v>
      </c>
      <c r="AH85" s="2">
        <v>43274.0</v>
      </c>
      <c r="AI85" s="1" t="s">
        <v>117</v>
      </c>
      <c r="AJ85" s="1">
        <v>37.0</v>
      </c>
      <c r="AK85" s="1">
        <v>38.0</v>
      </c>
      <c r="AL85" s="1">
        <v>2.0</v>
      </c>
      <c r="AM85" s="1" t="s">
        <v>58</v>
      </c>
    </row>
    <row r="86" ht="15.75" customHeight="1">
      <c r="A86" s="1" t="s">
        <v>774</v>
      </c>
      <c r="B86" s="1" t="s">
        <v>41</v>
      </c>
      <c r="C86" s="1" t="s">
        <v>775</v>
      </c>
      <c r="D86" s="2">
        <v>43274.0</v>
      </c>
      <c r="E86" s="1" t="s">
        <v>776</v>
      </c>
      <c r="F86" s="1" t="s">
        <v>777</v>
      </c>
      <c r="G86" s="1" t="s">
        <v>778</v>
      </c>
      <c r="H86" s="1" t="s">
        <v>779</v>
      </c>
      <c r="L86" s="1" t="s">
        <v>780</v>
      </c>
      <c r="M86" s="1" t="s">
        <v>781</v>
      </c>
      <c r="N86" s="1">
        <v>3104.0</v>
      </c>
      <c r="O86" s="1" t="s">
        <v>49</v>
      </c>
      <c r="P86" s="1">
        <v>4.09566661E8</v>
      </c>
      <c r="Q86" s="1" t="str">
        <f>"409566661"</f>
        <v>409566661</v>
      </c>
      <c r="S86" s="1" t="str">
        <f t="shared" si="19"/>
        <v/>
      </c>
      <c r="T86" s="1">
        <v>4.09566661E8</v>
      </c>
      <c r="U86" s="1" t="str">
        <f>"0409566661"</f>
        <v>0409566661</v>
      </c>
      <c r="V86" s="1" t="s">
        <v>782</v>
      </c>
      <c r="W86" s="1" t="s">
        <v>70</v>
      </c>
      <c r="Y86" s="1" t="s">
        <v>52</v>
      </c>
      <c r="Z86" s="1" t="s">
        <v>783</v>
      </c>
      <c r="AB86" s="1" t="s">
        <v>54</v>
      </c>
      <c r="AC86" s="1" t="s">
        <v>55</v>
      </c>
      <c r="AD86" s="1">
        <v>3.0</v>
      </c>
      <c r="AE86" s="1" t="s">
        <v>56</v>
      </c>
      <c r="AF86" s="1">
        <v>3.0</v>
      </c>
      <c r="AG86" s="1" t="s">
        <v>775</v>
      </c>
      <c r="AH86" s="2">
        <v>43274.0</v>
      </c>
      <c r="AI86" s="1" t="s">
        <v>490</v>
      </c>
      <c r="AJ86" s="1">
        <v>25.0</v>
      </c>
      <c r="AK86" s="1">
        <v>29.0</v>
      </c>
      <c r="AL86" s="1">
        <v>5.0</v>
      </c>
      <c r="AM86" s="1" t="s">
        <v>58</v>
      </c>
    </row>
    <row r="87" ht="15.75" customHeight="1">
      <c r="A87" s="1" t="s">
        <v>784</v>
      </c>
      <c r="B87" s="1" t="s">
        <v>41</v>
      </c>
      <c r="C87" s="1" t="s">
        <v>785</v>
      </c>
      <c r="D87" s="2">
        <v>43275.0</v>
      </c>
      <c r="E87" s="1" t="s">
        <v>786</v>
      </c>
      <c r="F87" s="1" t="s">
        <v>787</v>
      </c>
      <c r="G87" s="1" t="s">
        <v>788</v>
      </c>
      <c r="H87" s="1" t="s">
        <v>263</v>
      </c>
      <c r="L87" s="1" t="s">
        <v>789</v>
      </c>
      <c r="M87" s="1" t="s">
        <v>790</v>
      </c>
      <c r="N87" s="1">
        <v>2088.0</v>
      </c>
      <c r="O87" s="1" t="s">
        <v>49</v>
      </c>
      <c r="P87" s="1">
        <v>4.18655778E8</v>
      </c>
      <c r="Q87" s="1" t="str">
        <f>"418655778"</f>
        <v>418655778</v>
      </c>
      <c r="S87" s="1" t="str">
        <f t="shared" si="19"/>
        <v/>
      </c>
      <c r="T87" s="1">
        <v>4.18655778E8</v>
      </c>
      <c r="U87" s="1" t="str">
        <f>"0418655778"</f>
        <v>0418655778</v>
      </c>
      <c r="V87" s="1" t="s">
        <v>791</v>
      </c>
      <c r="W87" s="1" t="s">
        <v>70</v>
      </c>
      <c r="Y87" s="1" t="s">
        <v>52</v>
      </c>
      <c r="Z87" s="1" t="s">
        <v>792</v>
      </c>
      <c r="AB87" s="1" t="s">
        <v>54</v>
      </c>
      <c r="AC87" s="1" t="s">
        <v>55</v>
      </c>
      <c r="AD87" s="1">
        <v>3.0</v>
      </c>
      <c r="AE87" s="1" t="s">
        <v>56</v>
      </c>
      <c r="AF87" s="1">
        <v>3.0</v>
      </c>
      <c r="AG87" s="1" t="s">
        <v>785</v>
      </c>
      <c r="AH87" s="2">
        <v>43275.0</v>
      </c>
      <c r="AI87" s="1" t="s">
        <v>96</v>
      </c>
      <c r="AJ87" s="1">
        <v>34.0</v>
      </c>
      <c r="AK87" s="1">
        <v>35.0</v>
      </c>
      <c r="AL87" s="1">
        <v>2.0</v>
      </c>
      <c r="AM87" s="1" t="s">
        <v>58</v>
      </c>
    </row>
    <row r="88" ht="15.75" customHeight="1">
      <c r="A88" s="1" t="s">
        <v>793</v>
      </c>
      <c r="B88" s="1" t="s">
        <v>41</v>
      </c>
      <c r="C88" s="1" t="s">
        <v>794</v>
      </c>
      <c r="D88" s="2">
        <v>43275.0</v>
      </c>
      <c r="E88" s="1" t="s">
        <v>795</v>
      </c>
      <c r="F88" s="1" t="s">
        <v>796</v>
      </c>
      <c r="G88" s="1" t="s">
        <v>797</v>
      </c>
      <c r="H88" s="1" t="s">
        <v>798</v>
      </c>
      <c r="L88" s="1" t="s">
        <v>799</v>
      </c>
      <c r="M88" s="1" t="s">
        <v>218</v>
      </c>
      <c r="N88" s="1">
        <v>3169.0</v>
      </c>
      <c r="O88" s="1" t="s">
        <v>49</v>
      </c>
      <c r="P88" s="1">
        <v>4.51385807E8</v>
      </c>
      <c r="Q88" s="1" t="str">
        <f>"451385807"</f>
        <v>451385807</v>
      </c>
      <c r="S88" s="1" t="str">
        <f t="shared" si="19"/>
        <v/>
      </c>
      <c r="U88" s="1" t="str">
        <f>""</f>
        <v/>
      </c>
      <c r="V88" s="1" t="s">
        <v>800</v>
      </c>
      <c r="W88" s="1" t="s">
        <v>51</v>
      </c>
      <c r="Y88" s="1" t="s">
        <v>115</v>
      </c>
      <c r="Z88" s="1" t="s">
        <v>801</v>
      </c>
      <c r="AB88" s="1" t="s">
        <v>54</v>
      </c>
      <c r="AC88" s="1" t="s">
        <v>55</v>
      </c>
      <c r="AD88" s="1">
        <v>4.0</v>
      </c>
      <c r="AE88" s="1" t="s">
        <v>180</v>
      </c>
      <c r="AF88" s="1">
        <v>4.0</v>
      </c>
      <c r="AG88" s="1" t="s">
        <v>794</v>
      </c>
      <c r="AH88" s="2">
        <v>43275.0</v>
      </c>
      <c r="AI88" s="1" t="s">
        <v>72</v>
      </c>
      <c r="AJ88" s="1">
        <v>30.0</v>
      </c>
      <c r="AK88" s="1">
        <v>31.0</v>
      </c>
      <c r="AL88" s="1">
        <v>2.0</v>
      </c>
      <c r="AM88" s="1" t="s">
        <v>58</v>
      </c>
    </row>
    <row r="89" ht="15.75" customHeight="1">
      <c r="A89" s="1" t="s">
        <v>802</v>
      </c>
      <c r="B89" s="1" t="s">
        <v>41</v>
      </c>
      <c r="C89" s="1" t="s">
        <v>803</v>
      </c>
      <c r="D89" s="2">
        <v>43275.0</v>
      </c>
      <c r="E89" s="1" t="s">
        <v>804</v>
      </c>
      <c r="F89" s="1" t="s">
        <v>805</v>
      </c>
      <c r="G89" s="1" t="s">
        <v>806</v>
      </c>
      <c r="H89" s="1" t="s">
        <v>807</v>
      </c>
      <c r="L89" s="1" t="s">
        <v>808</v>
      </c>
      <c r="M89" s="1" t="s">
        <v>809</v>
      </c>
      <c r="N89" s="1">
        <v>3195.0</v>
      </c>
      <c r="O89" s="1" t="s">
        <v>49</v>
      </c>
      <c r="P89" s="1">
        <v>4.14101976E8</v>
      </c>
      <c r="Q89" s="1" t="str">
        <f>"414101976"</f>
        <v>414101976</v>
      </c>
      <c r="S89" s="1" t="str">
        <f t="shared" si="19"/>
        <v/>
      </c>
      <c r="T89" s="1">
        <v>4.14101976E8</v>
      </c>
      <c r="U89" s="1" t="str">
        <f>"0414101976"</f>
        <v>0414101976</v>
      </c>
      <c r="V89" s="1" t="s">
        <v>810</v>
      </c>
      <c r="W89" s="1" t="s">
        <v>51</v>
      </c>
      <c r="Y89" s="1" t="s">
        <v>115</v>
      </c>
      <c r="Z89" s="1" t="s">
        <v>811</v>
      </c>
      <c r="AB89" s="1" t="s">
        <v>54</v>
      </c>
      <c r="AC89" s="1" t="s">
        <v>55</v>
      </c>
      <c r="AD89" s="1">
        <v>2.0</v>
      </c>
      <c r="AE89" s="1" t="s">
        <v>56</v>
      </c>
      <c r="AF89" s="1">
        <v>2.0</v>
      </c>
      <c r="AG89" s="1" t="s">
        <v>803</v>
      </c>
      <c r="AH89" s="2">
        <v>43275.0</v>
      </c>
      <c r="AI89" s="1" t="s">
        <v>321</v>
      </c>
      <c r="AJ89" s="1">
        <v>36.0</v>
      </c>
      <c r="AK89" s="1">
        <v>37.0</v>
      </c>
      <c r="AL89" s="1">
        <v>2.0</v>
      </c>
      <c r="AM89" s="1" t="s">
        <v>58</v>
      </c>
    </row>
    <row r="90" ht="15.75" customHeight="1">
      <c r="A90" s="1" t="s">
        <v>812</v>
      </c>
      <c r="B90" s="1" t="s">
        <v>41</v>
      </c>
      <c r="C90" s="1" t="s">
        <v>813</v>
      </c>
      <c r="D90" s="2">
        <v>43275.0</v>
      </c>
      <c r="E90" s="1" t="s">
        <v>814</v>
      </c>
      <c r="F90" s="1" t="s">
        <v>815</v>
      </c>
      <c r="G90" s="1" t="s">
        <v>816</v>
      </c>
      <c r="H90" s="1" t="s">
        <v>817</v>
      </c>
      <c r="L90" s="1" t="s">
        <v>818</v>
      </c>
      <c r="M90" s="1" t="s">
        <v>819</v>
      </c>
      <c r="N90" s="1">
        <v>3057.0</v>
      </c>
      <c r="O90" s="1" t="s">
        <v>49</v>
      </c>
      <c r="P90" s="1">
        <v>3.83204557E8</v>
      </c>
      <c r="Q90" s="1" t="str">
        <f>"383204557"</f>
        <v>383204557</v>
      </c>
      <c r="S90" s="1" t="str">
        <f t="shared" si="19"/>
        <v/>
      </c>
      <c r="T90" s="1">
        <v>4.24476865E8</v>
      </c>
      <c r="U90" s="1" t="str">
        <f>"0424476865"</f>
        <v>0424476865</v>
      </c>
      <c r="V90" s="1" t="s">
        <v>820</v>
      </c>
      <c r="W90" s="1" t="s">
        <v>70</v>
      </c>
      <c r="Y90" s="1" t="s">
        <v>52</v>
      </c>
      <c r="Z90" s="1" t="s">
        <v>821</v>
      </c>
      <c r="AB90" s="1" t="s">
        <v>54</v>
      </c>
      <c r="AC90" s="1" t="s">
        <v>55</v>
      </c>
      <c r="AD90" s="1">
        <v>3.0</v>
      </c>
      <c r="AE90" s="1" t="s">
        <v>56</v>
      </c>
      <c r="AF90" s="1">
        <v>3.0</v>
      </c>
      <c r="AG90" s="1" t="s">
        <v>813</v>
      </c>
      <c r="AH90" s="2">
        <v>43275.0</v>
      </c>
      <c r="AI90" s="1" t="s">
        <v>268</v>
      </c>
      <c r="AJ90" s="1">
        <v>40.0</v>
      </c>
      <c r="AK90" s="1">
        <v>41.0</v>
      </c>
      <c r="AL90" s="1">
        <v>2.0</v>
      </c>
      <c r="AM90" s="1" t="s">
        <v>58</v>
      </c>
    </row>
    <row r="91" ht="15.75" customHeight="1">
      <c r="A91" s="1" t="s">
        <v>822</v>
      </c>
      <c r="B91" s="1" t="s">
        <v>41</v>
      </c>
      <c r="C91" s="1" t="s">
        <v>823</v>
      </c>
      <c r="D91" s="2">
        <v>43275.0</v>
      </c>
      <c r="E91" s="1" t="s">
        <v>824</v>
      </c>
      <c r="F91" s="1" t="s">
        <v>825</v>
      </c>
      <c r="G91" s="1" t="s">
        <v>826</v>
      </c>
      <c r="H91" s="1" t="s">
        <v>735</v>
      </c>
      <c r="L91" s="1" t="s">
        <v>827</v>
      </c>
      <c r="M91" s="1" t="s">
        <v>828</v>
      </c>
      <c r="N91" s="1">
        <v>3083.0</v>
      </c>
      <c r="O91" s="1" t="s">
        <v>49</v>
      </c>
      <c r="P91" s="1">
        <v>4.52229325E8</v>
      </c>
      <c r="Q91" s="1" t="str">
        <f>"452229325"</f>
        <v>452229325</v>
      </c>
      <c r="S91" s="1" t="str">
        <f t="shared" si="19"/>
        <v/>
      </c>
      <c r="T91" s="1">
        <v>4.52229325E8</v>
      </c>
      <c r="U91" s="1" t="str">
        <f>"0452229325"</f>
        <v>0452229325</v>
      </c>
      <c r="V91" s="1" t="s">
        <v>829</v>
      </c>
      <c r="W91" s="1" t="s">
        <v>70</v>
      </c>
      <c r="Y91" s="1" t="s">
        <v>52</v>
      </c>
      <c r="Z91" s="1" t="s">
        <v>830</v>
      </c>
      <c r="AB91" s="1" t="s">
        <v>54</v>
      </c>
      <c r="AC91" s="1" t="s">
        <v>55</v>
      </c>
      <c r="AD91" s="1">
        <v>4.0</v>
      </c>
      <c r="AE91" s="1" t="s">
        <v>180</v>
      </c>
      <c r="AF91" s="1">
        <v>4.0</v>
      </c>
      <c r="AG91" s="1" t="s">
        <v>823</v>
      </c>
      <c r="AH91" s="2">
        <v>43275.0</v>
      </c>
      <c r="AI91" s="1" t="s">
        <v>85</v>
      </c>
      <c r="AJ91" s="1">
        <v>19.0</v>
      </c>
      <c r="AK91" s="1">
        <v>21.0</v>
      </c>
      <c r="AL91" s="1">
        <v>3.0</v>
      </c>
      <c r="AM91" s="1" t="s">
        <v>58</v>
      </c>
    </row>
    <row r="92" ht="15.75" customHeight="1">
      <c r="A92" s="1" t="s">
        <v>831</v>
      </c>
      <c r="B92" s="1" t="s">
        <v>41</v>
      </c>
      <c r="C92" s="1" t="s">
        <v>832</v>
      </c>
      <c r="D92" s="2">
        <v>43276.0</v>
      </c>
      <c r="E92" s="1" t="s">
        <v>833</v>
      </c>
      <c r="F92" s="1" t="s">
        <v>834</v>
      </c>
      <c r="G92" s="1" t="s">
        <v>835</v>
      </c>
      <c r="H92" s="1" t="s">
        <v>836</v>
      </c>
      <c r="L92" s="1" t="s">
        <v>837</v>
      </c>
      <c r="M92" s="1" t="s">
        <v>708</v>
      </c>
      <c r="N92" s="1">
        <v>3125.0</v>
      </c>
      <c r="O92" s="1" t="s">
        <v>49</v>
      </c>
      <c r="P92" s="1">
        <v>4.21930022E8</v>
      </c>
      <c r="Q92" s="1" t="str">
        <f>"421930022"</f>
        <v>421930022</v>
      </c>
      <c r="S92" s="1" t="str">
        <f t="shared" si="19"/>
        <v/>
      </c>
      <c r="U92" s="1" t="str">
        <f>""</f>
        <v/>
      </c>
      <c r="V92" s="1" t="s">
        <v>838</v>
      </c>
      <c r="W92" s="1" t="s">
        <v>70</v>
      </c>
      <c r="Y92" s="1" t="s">
        <v>52</v>
      </c>
      <c r="Z92" s="1" t="s">
        <v>839</v>
      </c>
      <c r="AB92" s="1" t="s">
        <v>54</v>
      </c>
      <c r="AC92" s="1" t="s">
        <v>55</v>
      </c>
      <c r="AD92" s="1">
        <v>2.0</v>
      </c>
      <c r="AE92" s="1" t="s">
        <v>56</v>
      </c>
      <c r="AF92" s="1">
        <v>2.0</v>
      </c>
      <c r="AG92" s="1" t="s">
        <v>832</v>
      </c>
      <c r="AH92" s="2">
        <v>43276.0</v>
      </c>
      <c r="AI92" s="1" t="s">
        <v>321</v>
      </c>
      <c r="AJ92" s="1">
        <v>38.0</v>
      </c>
      <c r="AK92" s="1">
        <v>39.0</v>
      </c>
      <c r="AL92" s="1">
        <v>2.0</v>
      </c>
      <c r="AM92" s="1" t="s">
        <v>58</v>
      </c>
    </row>
    <row r="93" ht="15.75" customHeight="1">
      <c r="A93" s="1" t="s">
        <v>840</v>
      </c>
      <c r="B93" s="1" t="s">
        <v>41</v>
      </c>
      <c r="C93" s="1" t="s">
        <v>841</v>
      </c>
      <c r="D93" s="2">
        <v>43276.0</v>
      </c>
      <c r="E93" s="1" t="s">
        <v>842</v>
      </c>
      <c r="F93" s="1" t="s">
        <v>843</v>
      </c>
      <c r="G93" s="1" t="s">
        <v>844</v>
      </c>
      <c r="H93" s="1" t="s">
        <v>845</v>
      </c>
      <c r="L93" s="1" t="s">
        <v>846</v>
      </c>
      <c r="M93" s="1" t="s">
        <v>847</v>
      </c>
      <c r="N93" s="1">
        <v>3138.0</v>
      </c>
      <c r="O93" s="1" t="s">
        <v>49</v>
      </c>
      <c r="P93" s="1">
        <v>6.14900478E8</v>
      </c>
      <c r="Q93" s="1" t="str">
        <f>"0614900478"</f>
        <v>0614900478</v>
      </c>
      <c r="R93" s="1">
        <v>59.0</v>
      </c>
      <c r="S93" s="1" t="str">
        <f>"59"</f>
        <v>59</v>
      </c>
      <c r="T93" s="1">
        <v>6.1490047859E10</v>
      </c>
      <c r="U93" s="1" t="str">
        <f>"0061490047859"</f>
        <v>0061490047859</v>
      </c>
      <c r="V93" s="1" t="s">
        <v>848</v>
      </c>
      <c r="W93" s="1" t="s">
        <v>70</v>
      </c>
      <c r="Y93" s="1" t="s">
        <v>52</v>
      </c>
      <c r="Z93" s="1" t="s">
        <v>849</v>
      </c>
      <c r="AB93" s="1" t="s">
        <v>54</v>
      </c>
      <c r="AC93" s="1" t="s">
        <v>55</v>
      </c>
      <c r="AD93" s="1">
        <v>3.0</v>
      </c>
      <c r="AE93" s="1" t="s">
        <v>56</v>
      </c>
      <c r="AF93" s="1">
        <v>3.0</v>
      </c>
      <c r="AG93" s="1" t="s">
        <v>841</v>
      </c>
      <c r="AH93" s="2">
        <v>43276.0</v>
      </c>
      <c r="AI93" s="1" t="s">
        <v>639</v>
      </c>
      <c r="AJ93" s="1">
        <v>32.0</v>
      </c>
      <c r="AK93" s="1">
        <v>34.0</v>
      </c>
      <c r="AL93" s="1">
        <v>3.0</v>
      </c>
      <c r="AM93" s="1" t="s">
        <v>58</v>
      </c>
    </row>
    <row r="94" ht="15.75" customHeight="1">
      <c r="A94" s="1" t="s">
        <v>850</v>
      </c>
      <c r="B94" s="1" t="s">
        <v>41</v>
      </c>
      <c r="C94" s="1" t="s">
        <v>851</v>
      </c>
      <c r="D94" s="2">
        <v>43276.0</v>
      </c>
      <c r="E94" s="1" t="s">
        <v>852</v>
      </c>
      <c r="F94" s="1" t="s">
        <v>853</v>
      </c>
      <c r="G94" s="1" t="s">
        <v>854</v>
      </c>
      <c r="H94" s="1" t="s">
        <v>855</v>
      </c>
      <c r="L94" s="1" t="s">
        <v>856</v>
      </c>
      <c r="M94" s="1" t="s">
        <v>857</v>
      </c>
      <c r="N94" s="1">
        <v>3048.0</v>
      </c>
      <c r="O94" s="1" t="s">
        <v>49</v>
      </c>
      <c r="P94" s="1">
        <v>4.21195892E8</v>
      </c>
      <c r="Q94" s="1" t="str">
        <f>"421195892"</f>
        <v>421195892</v>
      </c>
      <c r="S94" s="1" t="str">
        <f t="shared" ref="S94:S104" si="25">""</f>
        <v/>
      </c>
      <c r="U94" s="1" t="str">
        <f t="shared" ref="U94:U95" si="26">""</f>
        <v/>
      </c>
      <c r="V94" s="1" t="s">
        <v>858</v>
      </c>
      <c r="W94" s="1" t="s">
        <v>51</v>
      </c>
      <c r="Y94" s="1" t="s">
        <v>115</v>
      </c>
      <c r="Z94" s="1" t="s">
        <v>859</v>
      </c>
      <c r="AB94" s="1" t="s">
        <v>54</v>
      </c>
      <c r="AC94" s="1" t="s">
        <v>55</v>
      </c>
      <c r="AD94" s="1">
        <v>2.0</v>
      </c>
      <c r="AE94" s="1" t="s">
        <v>56</v>
      </c>
      <c r="AF94" s="1">
        <v>2.0</v>
      </c>
      <c r="AG94" s="1" t="s">
        <v>851</v>
      </c>
      <c r="AH94" s="2">
        <v>43276.0</v>
      </c>
      <c r="AI94" s="1" t="s">
        <v>321</v>
      </c>
      <c r="AJ94" s="1">
        <v>6.0</v>
      </c>
      <c r="AK94" s="1">
        <v>7.0</v>
      </c>
      <c r="AL94" s="1">
        <v>2.0</v>
      </c>
      <c r="AM94" s="1" t="s">
        <v>58</v>
      </c>
    </row>
    <row r="95" ht="15.75" customHeight="1">
      <c r="A95" s="1" t="s">
        <v>860</v>
      </c>
      <c r="B95" s="1" t="s">
        <v>41</v>
      </c>
      <c r="C95" s="1" t="s">
        <v>861</v>
      </c>
      <c r="D95" s="2">
        <v>43277.0</v>
      </c>
      <c r="E95" s="1" t="s">
        <v>862</v>
      </c>
      <c r="F95" s="1" t="s">
        <v>863</v>
      </c>
      <c r="G95" s="1" t="s">
        <v>864</v>
      </c>
      <c r="H95" s="1" t="s">
        <v>865</v>
      </c>
      <c r="L95" s="1" t="s">
        <v>866</v>
      </c>
      <c r="M95" s="1" t="s">
        <v>318</v>
      </c>
      <c r="N95" s="1">
        <v>3220.0</v>
      </c>
      <c r="O95" s="1" t="s">
        <v>49</v>
      </c>
      <c r="P95" s="1">
        <v>4.1676682E8</v>
      </c>
      <c r="Q95" s="1" t="str">
        <f>"416766820"</f>
        <v>416766820</v>
      </c>
      <c r="S95" s="1" t="str">
        <f t="shared" si="25"/>
        <v/>
      </c>
      <c r="U95" s="1" t="str">
        <f t="shared" si="26"/>
        <v/>
      </c>
      <c r="V95" s="1" t="s">
        <v>867</v>
      </c>
      <c r="W95" s="1" t="s">
        <v>70</v>
      </c>
      <c r="Y95" s="1" t="s">
        <v>52</v>
      </c>
      <c r="Z95" s="1" t="s">
        <v>868</v>
      </c>
      <c r="AB95" s="1" t="s">
        <v>54</v>
      </c>
      <c r="AC95" s="1" t="s">
        <v>55</v>
      </c>
      <c r="AD95" s="1">
        <v>3.0</v>
      </c>
      <c r="AE95" s="1" t="s">
        <v>56</v>
      </c>
      <c r="AF95" s="1">
        <v>3.0</v>
      </c>
      <c r="AG95" s="1" t="s">
        <v>861</v>
      </c>
      <c r="AH95" s="2">
        <v>43277.0</v>
      </c>
      <c r="AI95" s="1" t="s">
        <v>490</v>
      </c>
      <c r="AJ95" s="1">
        <v>14.0</v>
      </c>
      <c r="AK95" s="1">
        <v>18.0</v>
      </c>
      <c r="AL95" s="1">
        <v>5.0</v>
      </c>
      <c r="AM95" s="1" t="s">
        <v>58</v>
      </c>
    </row>
    <row r="96" ht="15.75" customHeight="1">
      <c r="A96" s="1" t="s">
        <v>869</v>
      </c>
      <c r="B96" s="1" t="s">
        <v>41</v>
      </c>
      <c r="C96" s="1" t="s">
        <v>870</v>
      </c>
      <c r="D96" s="2">
        <v>43277.0</v>
      </c>
      <c r="E96" s="1" t="s">
        <v>871</v>
      </c>
      <c r="F96" s="1" t="s">
        <v>872</v>
      </c>
      <c r="G96" s="1" t="s">
        <v>873</v>
      </c>
      <c r="H96" s="1" t="s">
        <v>874</v>
      </c>
      <c r="L96" s="1" t="s">
        <v>875</v>
      </c>
      <c r="M96" s="1" t="s">
        <v>680</v>
      </c>
      <c r="N96" s="1">
        <v>3032.0</v>
      </c>
      <c r="O96" s="1" t="s">
        <v>49</v>
      </c>
      <c r="P96" s="1">
        <v>4.29707179E8</v>
      </c>
      <c r="Q96" s="1" t="str">
        <f>"429707179"</f>
        <v>429707179</v>
      </c>
      <c r="S96" s="1" t="str">
        <f t="shared" si="25"/>
        <v/>
      </c>
      <c r="T96" s="1">
        <v>4.29707179E8</v>
      </c>
      <c r="U96" s="1" t="str">
        <f>"0429707179"</f>
        <v>0429707179</v>
      </c>
      <c r="V96" s="1" t="s">
        <v>876</v>
      </c>
      <c r="W96" s="1" t="s">
        <v>51</v>
      </c>
      <c r="Y96" s="1" t="s">
        <v>52</v>
      </c>
      <c r="Z96" s="1" t="s">
        <v>877</v>
      </c>
      <c r="AB96" s="1" t="s">
        <v>54</v>
      </c>
      <c r="AC96" s="1" t="s">
        <v>55</v>
      </c>
      <c r="AD96" s="1">
        <v>3.0</v>
      </c>
      <c r="AE96" s="1" t="s">
        <v>56</v>
      </c>
      <c r="AF96" s="1">
        <v>3.0</v>
      </c>
      <c r="AG96" s="1" t="s">
        <v>870</v>
      </c>
      <c r="AH96" s="2">
        <v>43277.0</v>
      </c>
      <c r="AI96" s="1" t="s">
        <v>440</v>
      </c>
      <c r="AJ96" s="1">
        <v>33.0</v>
      </c>
      <c r="AK96" s="1">
        <v>34.0</v>
      </c>
      <c r="AL96" s="1">
        <v>2.0</v>
      </c>
      <c r="AM96" s="1" t="s">
        <v>58</v>
      </c>
    </row>
    <row r="97" ht="15.75" customHeight="1">
      <c r="A97" s="1" t="s">
        <v>878</v>
      </c>
      <c r="B97" s="1" t="s">
        <v>41</v>
      </c>
      <c r="C97" s="1" t="s">
        <v>879</v>
      </c>
      <c r="D97" s="2">
        <v>43278.0</v>
      </c>
      <c r="E97" s="1" t="s">
        <v>880</v>
      </c>
      <c r="F97" s="1" t="s">
        <v>881</v>
      </c>
      <c r="G97" s="1" t="s">
        <v>882</v>
      </c>
      <c r="H97" s="1" t="s">
        <v>883</v>
      </c>
      <c r="L97" s="1" t="s">
        <v>884</v>
      </c>
      <c r="M97" s="1" t="s">
        <v>885</v>
      </c>
      <c r="N97" s="1">
        <v>3093.0</v>
      </c>
      <c r="O97" s="1" t="s">
        <v>49</v>
      </c>
      <c r="P97" s="1">
        <v>4.20860796E8</v>
      </c>
      <c r="Q97" s="1" t="str">
        <f>"420860796"</f>
        <v>420860796</v>
      </c>
      <c r="S97" s="1" t="str">
        <f t="shared" si="25"/>
        <v/>
      </c>
      <c r="U97" s="1" t="str">
        <f t="shared" ref="U97:U98" si="27">""</f>
        <v/>
      </c>
      <c r="V97" s="1" t="s">
        <v>886</v>
      </c>
      <c r="W97" s="1" t="s">
        <v>51</v>
      </c>
      <c r="Y97" s="1" t="s">
        <v>52</v>
      </c>
      <c r="Z97" s="1" t="s">
        <v>887</v>
      </c>
      <c r="AB97" s="1" t="s">
        <v>54</v>
      </c>
      <c r="AC97" s="1" t="s">
        <v>55</v>
      </c>
      <c r="AD97" s="1">
        <v>4.0</v>
      </c>
      <c r="AE97" s="1" t="s">
        <v>180</v>
      </c>
      <c r="AF97" s="1">
        <v>4.0</v>
      </c>
      <c r="AG97" s="1" t="s">
        <v>879</v>
      </c>
      <c r="AH97" s="2">
        <v>43278.0</v>
      </c>
      <c r="AI97" s="1" t="s">
        <v>72</v>
      </c>
      <c r="AJ97" s="1">
        <v>10.0</v>
      </c>
      <c r="AK97" s="1">
        <v>11.0</v>
      </c>
      <c r="AL97" s="1">
        <v>2.0</v>
      </c>
      <c r="AM97" s="1" t="s">
        <v>58</v>
      </c>
    </row>
    <row r="98" ht="15.75" customHeight="1">
      <c r="A98" s="1" t="s">
        <v>888</v>
      </c>
      <c r="B98" s="1" t="s">
        <v>41</v>
      </c>
      <c r="C98" s="1" t="s">
        <v>889</v>
      </c>
      <c r="D98" s="2">
        <v>43278.0</v>
      </c>
      <c r="E98" s="1" t="s">
        <v>890</v>
      </c>
      <c r="F98" s="1" t="s">
        <v>891</v>
      </c>
      <c r="G98" s="1" t="s">
        <v>892</v>
      </c>
      <c r="H98" s="1" t="s">
        <v>893</v>
      </c>
      <c r="L98" s="1" t="s">
        <v>894</v>
      </c>
      <c r="M98" s="1" t="s">
        <v>296</v>
      </c>
      <c r="N98" s="1">
        <v>3040.0</v>
      </c>
      <c r="O98" s="1" t="s">
        <v>49</v>
      </c>
      <c r="P98" s="1">
        <v>4.98205462E8</v>
      </c>
      <c r="Q98" s="1" t="str">
        <f>"498205462"</f>
        <v>498205462</v>
      </c>
      <c r="S98" s="1" t="str">
        <f t="shared" si="25"/>
        <v/>
      </c>
      <c r="U98" s="1" t="str">
        <f t="shared" si="27"/>
        <v/>
      </c>
      <c r="V98" s="1" t="s">
        <v>895</v>
      </c>
      <c r="W98" s="1" t="s">
        <v>51</v>
      </c>
      <c r="Y98" s="1" t="s">
        <v>52</v>
      </c>
      <c r="Z98" s="1" t="s">
        <v>896</v>
      </c>
      <c r="AB98" s="1" t="s">
        <v>54</v>
      </c>
      <c r="AC98" s="1" t="s">
        <v>55</v>
      </c>
      <c r="AD98" s="1">
        <v>3.0</v>
      </c>
      <c r="AE98" s="1" t="s">
        <v>56</v>
      </c>
      <c r="AF98" s="1">
        <v>3.0</v>
      </c>
      <c r="AG98" s="1" t="s">
        <v>889</v>
      </c>
      <c r="AH98" s="2">
        <v>43278.0</v>
      </c>
      <c r="AI98" s="1" t="s">
        <v>96</v>
      </c>
      <c r="AJ98" s="1">
        <v>36.0</v>
      </c>
      <c r="AK98" s="1">
        <v>38.0</v>
      </c>
      <c r="AL98" s="1">
        <v>3.0</v>
      </c>
      <c r="AM98" s="1" t="s">
        <v>58</v>
      </c>
    </row>
    <row r="99" ht="15.75" customHeight="1">
      <c r="A99" s="1" t="s">
        <v>897</v>
      </c>
      <c r="B99" s="1" t="s">
        <v>41</v>
      </c>
      <c r="C99" s="1" t="s">
        <v>898</v>
      </c>
      <c r="D99" s="2">
        <v>43278.0</v>
      </c>
      <c r="E99" s="1" t="s">
        <v>899</v>
      </c>
      <c r="F99" s="1" t="s">
        <v>900</v>
      </c>
      <c r="G99" s="1" t="s">
        <v>901</v>
      </c>
      <c r="H99" s="1" t="s">
        <v>902</v>
      </c>
      <c r="L99" s="1" t="s">
        <v>903</v>
      </c>
      <c r="M99" s="1" t="s">
        <v>904</v>
      </c>
      <c r="N99" s="1">
        <v>3752.0</v>
      </c>
      <c r="O99" s="1" t="s">
        <v>49</v>
      </c>
      <c r="P99" s="1">
        <v>4.79103984E8</v>
      </c>
      <c r="Q99" s="1" t="str">
        <f>"479103984"</f>
        <v>479103984</v>
      </c>
      <c r="S99" s="1" t="str">
        <f t="shared" si="25"/>
        <v/>
      </c>
      <c r="T99" s="1">
        <v>4.79103984E8</v>
      </c>
      <c r="U99" s="1" t="str">
        <f>"0479103984"</f>
        <v>0479103984</v>
      </c>
      <c r="V99" s="1" t="s">
        <v>905</v>
      </c>
      <c r="W99" s="1" t="s">
        <v>51</v>
      </c>
      <c r="Y99" s="1" t="s">
        <v>115</v>
      </c>
      <c r="Z99" s="1" t="s">
        <v>906</v>
      </c>
      <c r="AB99" s="1" t="s">
        <v>54</v>
      </c>
      <c r="AC99" s="1" t="s">
        <v>55</v>
      </c>
      <c r="AD99" s="1">
        <v>3.0</v>
      </c>
      <c r="AE99" s="1" t="s">
        <v>56</v>
      </c>
      <c r="AF99" s="1">
        <v>3.0</v>
      </c>
      <c r="AG99" s="1" t="s">
        <v>898</v>
      </c>
      <c r="AH99" s="2">
        <v>43278.0</v>
      </c>
      <c r="AI99" s="1" t="s">
        <v>440</v>
      </c>
      <c r="AJ99" s="1">
        <v>9.0</v>
      </c>
      <c r="AK99" s="1">
        <v>11.0</v>
      </c>
      <c r="AL99" s="1">
        <v>3.0</v>
      </c>
      <c r="AM99" s="1" t="s">
        <v>58</v>
      </c>
    </row>
    <row r="100" ht="15.75" customHeight="1">
      <c r="A100" s="1" t="s">
        <v>907</v>
      </c>
      <c r="B100" s="1" t="s">
        <v>41</v>
      </c>
      <c r="C100" s="1" t="s">
        <v>908</v>
      </c>
      <c r="D100" s="2">
        <v>43278.0</v>
      </c>
      <c r="E100" s="1" t="s">
        <v>909</v>
      </c>
      <c r="F100" s="1" t="s">
        <v>910</v>
      </c>
      <c r="G100" s="1" t="s">
        <v>911</v>
      </c>
      <c r="H100" s="1" t="s">
        <v>912</v>
      </c>
      <c r="L100" s="1" t="s">
        <v>913</v>
      </c>
      <c r="M100" s="1" t="s">
        <v>914</v>
      </c>
      <c r="N100" s="1">
        <v>3178.0</v>
      </c>
      <c r="O100" s="1" t="s">
        <v>49</v>
      </c>
      <c r="P100" s="1">
        <v>4.18866337E8</v>
      </c>
      <c r="Q100" s="1" t="str">
        <f>"418866337"</f>
        <v>418866337</v>
      </c>
      <c r="S100" s="1" t="str">
        <f t="shared" si="25"/>
        <v/>
      </c>
      <c r="T100" s="1">
        <v>4.18866337E8</v>
      </c>
      <c r="U100" s="1" t="str">
        <f>"0418866337"</f>
        <v>0418866337</v>
      </c>
      <c r="V100" s="1" t="s">
        <v>915</v>
      </c>
      <c r="W100" s="1" t="s">
        <v>51</v>
      </c>
      <c r="Y100" s="1" t="s">
        <v>52</v>
      </c>
      <c r="Z100" s="1" t="s">
        <v>916</v>
      </c>
      <c r="AB100" s="1" t="s">
        <v>54</v>
      </c>
      <c r="AC100" s="1" t="s">
        <v>55</v>
      </c>
      <c r="AD100" s="1">
        <v>4.0</v>
      </c>
      <c r="AE100" s="1" t="s">
        <v>180</v>
      </c>
      <c r="AF100" s="1">
        <v>4.0</v>
      </c>
      <c r="AG100" s="1" t="s">
        <v>908</v>
      </c>
      <c r="AH100" s="2">
        <v>43278.0</v>
      </c>
      <c r="AI100" s="1" t="s">
        <v>85</v>
      </c>
      <c r="AJ100" s="1">
        <v>17.0</v>
      </c>
      <c r="AK100" s="1">
        <v>18.0</v>
      </c>
      <c r="AL100" s="1">
        <v>2.0</v>
      </c>
      <c r="AM100" s="1" t="s">
        <v>58</v>
      </c>
    </row>
    <row r="101" ht="15.75" customHeight="1">
      <c r="A101" s="1" t="s">
        <v>917</v>
      </c>
      <c r="B101" s="1" t="s">
        <v>41</v>
      </c>
      <c r="C101" s="1" t="s">
        <v>918</v>
      </c>
      <c r="D101" s="2">
        <v>43278.0</v>
      </c>
      <c r="E101" s="1" t="s">
        <v>919</v>
      </c>
      <c r="F101" s="1" t="s">
        <v>920</v>
      </c>
      <c r="G101" s="1" t="s">
        <v>921</v>
      </c>
      <c r="H101" s="1" t="s">
        <v>922</v>
      </c>
      <c r="L101" s="1" t="s">
        <v>923</v>
      </c>
      <c r="M101" s="1" t="s">
        <v>914</v>
      </c>
      <c r="N101" s="1">
        <v>3178.0</v>
      </c>
      <c r="O101" s="1" t="s">
        <v>49</v>
      </c>
      <c r="P101" s="1">
        <v>3.97644931E8</v>
      </c>
      <c r="Q101" s="1" t="str">
        <f>"397644931"</f>
        <v>397644931</v>
      </c>
      <c r="S101" s="1" t="str">
        <f t="shared" si="25"/>
        <v/>
      </c>
      <c r="T101" s="1">
        <v>4.04090211E8</v>
      </c>
      <c r="U101" s="1" t="str">
        <f>"0404090211"</f>
        <v>0404090211</v>
      </c>
      <c r="V101" s="1" t="s">
        <v>924</v>
      </c>
      <c r="W101" s="1" t="s">
        <v>51</v>
      </c>
      <c r="Y101" s="1" t="s">
        <v>115</v>
      </c>
      <c r="Z101" s="1" t="s">
        <v>925</v>
      </c>
      <c r="AB101" s="1" t="s">
        <v>54</v>
      </c>
      <c r="AC101" s="1" t="s">
        <v>55</v>
      </c>
      <c r="AD101" s="1">
        <v>4.0</v>
      </c>
      <c r="AE101" s="1" t="s">
        <v>180</v>
      </c>
      <c r="AF101" s="1">
        <v>4.0</v>
      </c>
      <c r="AG101" s="1" t="s">
        <v>918</v>
      </c>
      <c r="AH101" s="2">
        <v>43278.0</v>
      </c>
      <c r="AI101" s="1" t="s">
        <v>72</v>
      </c>
      <c r="AJ101" s="1">
        <v>6.0</v>
      </c>
      <c r="AK101" s="1">
        <v>9.0</v>
      </c>
      <c r="AL101" s="1">
        <v>4.0</v>
      </c>
      <c r="AM101" s="1" t="s">
        <v>58</v>
      </c>
    </row>
    <row r="102" ht="15.75" customHeight="1">
      <c r="A102" s="1" t="s">
        <v>926</v>
      </c>
      <c r="B102" s="1" t="s">
        <v>41</v>
      </c>
      <c r="C102" s="1" t="s">
        <v>927</v>
      </c>
      <c r="D102" s="2">
        <v>43278.0</v>
      </c>
      <c r="E102" s="1" t="s">
        <v>234</v>
      </c>
      <c r="F102" s="1" t="s">
        <v>235</v>
      </c>
      <c r="G102" s="1" t="s">
        <v>236</v>
      </c>
      <c r="H102" s="1" t="s">
        <v>237</v>
      </c>
      <c r="L102" s="1" t="s">
        <v>238</v>
      </c>
      <c r="M102" s="1" t="s">
        <v>239</v>
      </c>
      <c r="N102" s="1">
        <v>3216.0</v>
      </c>
      <c r="O102" s="1" t="s">
        <v>49</v>
      </c>
      <c r="P102" s="1">
        <v>4.02639989E8</v>
      </c>
      <c r="Q102" s="1" t="str">
        <f>"402639989"</f>
        <v>402639989</v>
      </c>
      <c r="S102" s="1" t="str">
        <f t="shared" si="25"/>
        <v/>
      </c>
      <c r="U102" s="1" t="str">
        <f>""</f>
        <v/>
      </c>
      <c r="V102" s="1" t="s">
        <v>240</v>
      </c>
      <c r="W102" s="1" t="s">
        <v>51</v>
      </c>
      <c r="Y102" s="1" t="s">
        <v>52</v>
      </c>
      <c r="Z102" s="1" t="s">
        <v>928</v>
      </c>
      <c r="AB102" s="1" t="s">
        <v>54</v>
      </c>
      <c r="AC102" s="1" t="s">
        <v>55</v>
      </c>
      <c r="AD102" s="1">
        <v>4.0</v>
      </c>
      <c r="AE102" s="1" t="s">
        <v>180</v>
      </c>
      <c r="AF102" s="1">
        <v>4.0</v>
      </c>
      <c r="AG102" s="1" t="s">
        <v>927</v>
      </c>
      <c r="AH102" s="2">
        <v>43278.0</v>
      </c>
      <c r="AI102" s="1" t="s">
        <v>85</v>
      </c>
      <c r="AJ102" s="1">
        <v>26.0</v>
      </c>
      <c r="AK102" s="1">
        <v>27.0</v>
      </c>
      <c r="AL102" s="1">
        <v>2.0</v>
      </c>
      <c r="AM102" s="1" t="s">
        <v>58</v>
      </c>
    </row>
    <row r="103" ht="15.75" customHeight="1">
      <c r="A103" s="1" t="s">
        <v>929</v>
      </c>
      <c r="B103" s="1" t="s">
        <v>41</v>
      </c>
      <c r="C103" s="1" t="s">
        <v>930</v>
      </c>
      <c r="D103" s="2">
        <v>43278.0</v>
      </c>
      <c r="E103" s="1" t="s">
        <v>931</v>
      </c>
      <c r="F103" s="1" t="s">
        <v>932</v>
      </c>
      <c r="G103" s="1" t="s">
        <v>215</v>
      </c>
      <c r="H103" s="1" t="s">
        <v>933</v>
      </c>
      <c r="L103" s="1" t="s">
        <v>934</v>
      </c>
      <c r="M103" s="1" t="s">
        <v>935</v>
      </c>
      <c r="N103" s="1">
        <v>3011.0</v>
      </c>
      <c r="O103" s="1" t="s">
        <v>49</v>
      </c>
      <c r="P103" s="1">
        <v>4.31042895E8</v>
      </c>
      <c r="Q103" s="1" t="str">
        <f>"431042895"</f>
        <v>431042895</v>
      </c>
      <c r="S103" s="1" t="str">
        <f t="shared" si="25"/>
        <v/>
      </c>
      <c r="T103" s="1">
        <v>4.31042895E8</v>
      </c>
      <c r="U103" s="1" t="str">
        <f>"0431042895"</f>
        <v>0431042895</v>
      </c>
      <c r="V103" s="1" t="s">
        <v>936</v>
      </c>
      <c r="W103" s="1" t="s">
        <v>51</v>
      </c>
      <c r="Y103" s="1" t="s">
        <v>52</v>
      </c>
      <c r="Z103" s="1" t="s">
        <v>937</v>
      </c>
      <c r="AB103" s="1" t="s">
        <v>54</v>
      </c>
      <c r="AC103" s="1" t="s">
        <v>55</v>
      </c>
      <c r="AD103" s="1">
        <v>4.0</v>
      </c>
      <c r="AE103" s="1" t="s">
        <v>180</v>
      </c>
      <c r="AF103" s="1">
        <v>4.0</v>
      </c>
      <c r="AG103" s="1" t="s">
        <v>930</v>
      </c>
      <c r="AH103" s="2">
        <v>43278.0</v>
      </c>
      <c r="AI103" s="1" t="s">
        <v>85</v>
      </c>
      <c r="AJ103" s="1">
        <v>22.0</v>
      </c>
      <c r="AK103" s="1">
        <v>23.0</v>
      </c>
      <c r="AL103" s="1">
        <v>2.0</v>
      </c>
      <c r="AM103" s="1" t="s">
        <v>58</v>
      </c>
    </row>
    <row r="104" ht="15.75" customHeight="1">
      <c r="A104" s="1" t="s">
        <v>938</v>
      </c>
      <c r="B104" s="1" t="s">
        <v>41</v>
      </c>
      <c r="C104" s="1" t="s">
        <v>939</v>
      </c>
      <c r="D104" s="2">
        <v>43278.0</v>
      </c>
      <c r="E104" s="1" t="s">
        <v>940</v>
      </c>
      <c r="F104" s="1" t="s">
        <v>941</v>
      </c>
      <c r="G104" s="1" t="s">
        <v>942</v>
      </c>
      <c r="H104" s="1" t="s">
        <v>943</v>
      </c>
      <c r="L104" s="1" t="s">
        <v>944</v>
      </c>
      <c r="M104" s="1" t="s">
        <v>945</v>
      </c>
      <c r="N104" s="1">
        <v>3038.0</v>
      </c>
      <c r="O104" s="1" t="s">
        <v>49</v>
      </c>
      <c r="P104" s="1">
        <v>3.9013449E8</v>
      </c>
      <c r="Q104" s="1" t="str">
        <f>"390134490"</f>
        <v>390134490</v>
      </c>
      <c r="S104" s="1" t="str">
        <f t="shared" si="25"/>
        <v/>
      </c>
      <c r="T104" s="1">
        <v>4.52220342E8</v>
      </c>
      <c r="U104" s="1" t="str">
        <f>"0452220342"</f>
        <v>0452220342</v>
      </c>
      <c r="V104" s="1" t="s">
        <v>946</v>
      </c>
      <c r="W104" s="1" t="s">
        <v>70</v>
      </c>
      <c r="Y104" s="1" t="s">
        <v>52</v>
      </c>
      <c r="Z104" s="1" t="s">
        <v>947</v>
      </c>
      <c r="AB104" s="1" t="s">
        <v>54</v>
      </c>
      <c r="AC104" s="1" t="s">
        <v>55</v>
      </c>
      <c r="AD104" s="1">
        <v>3.0</v>
      </c>
      <c r="AE104" s="1" t="s">
        <v>56</v>
      </c>
      <c r="AF104" s="1">
        <v>3.0</v>
      </c>
      <c r="AG104" s="1" t="s">
        <v>939</v>
      </c>
      <c r="AH104" s="2">
        <v>43278.0</v>
      </c>
      <c r="AI104" s="1" t="s">
        <v>440</v>
      </c>
      <c r="AJ104" s="1">
        <v>5.0</v>
      </c>
      <c r="AK104" s="1">
        <v>8.0</v>
      </c>
      <c r="AL104" s="1">
        <v>4.0</v>
      </c>
      <c r="AM104" s="1" t="s">
        <v>58</v>
      </c>
    </row>
    <row r="105" ht="15.75" customHeight="1">
      <c r="A105" s="1" t="s">
        <v>948</v>
      </c>
      <c r="B105" s="1" t="s">
        <v>41</v>
      </c>
      <c r="C105" s="1" t="s">
        <v>949</v>
      </c>
      <c r="D105" s="2">
        <v>43278.0</v>
      </c>
      <c r="E105" s="1" t="s">
        <v>950</v>
      </c>
      <c r="F105" s="1" t="s">
        <v>951</v>
      </c>
      <c r="G105" s="1" t="s">
        <v>952</v>
      </c>
      <c r="H105" s="1" t="s">
        <v>953</v>
      </c>
      <c r="L105" s="1" t="s">
        <v>954</v>
      </c>
      <c r="M105" s="1" t="s">
        <v>398</v>
      </c>
      <c r="N105" s="1">
        <v>3107.0</v>
      </c>
      <c r="O105" s="1" t="s">
        <v>49</v>
      </c>
      <c r="P105" s="1">
        <v>6.143267313E9</v>
      </c>
      <c r="Q105" s="1" t="str">
        <f>"6143267313"</f>
        <v>6143267313</v>
      </c>
      <c r="R105" s="1">
        <v>9.0</v>
      </c>
      <c r="S105" s="1" t="str">
        <f>"9"</f>
        <v>9</v>
      </c>
      <c r="T105" s="1">
        <v>4.32673139E8</v>
      </c>
      <c r="U105" s="1" t="str">
        <f>"0432673139"</f>
        <v>0432673139</v>
      </c>
      <c r="V105" s="1" t="s">
        <v>955</v>
      </c>
      <c r="W105" s="1" t="s">
        <v>51</v>
      </c>
      <c r="Y105" s="1" t="s">
        <v>52</v>
      </c>
      <c r="Z105" s="1" t="s">
        <v>956</v>
      </c>
      <c r="AB105" s="1" t="s">
        <v>54</v>
      </c>
      <c r="AC105" s="1" t="s">
        <v>55</v>
      </c>
      <c r="AD105" s="1">
        <v>3.0</v>
      </c>
      <c r="AE105" s="1" t="s">
        <v>56</v>
      </c>
      <c r="AF105" s="1">
        <v>3.0</v>
      </c>
      <c r="AG105" s="1" t="s">
        <v>949</v>
      </c>
      <c r="AH105" s="2">
        <v>43278.0</v>
      </c>
      <c r="AI105" s="1" t="s">
        <v>639</v>
      </c>
      <c r="AJ105" s="1">
        <v>8.0</v>
      </c>
      <c r="AK105" s="1">
        <v>11.0</v>
      </c>
      <c r="AL105" s="1">
        <v>4.0</v>
      </c>
      <c r="AM105" s="1" t="s">
        <v>58</v>
      </c>
    </row>
    <row r="106" ht="15.75" customHeight="1">
      <c r="A106" s="1" t="s">
        <v>957</v>
      </c>
      <c r="B106" s="1" t="s">
        <v>41</v>
      </c>
      <c r="C106" s="1" t="s">
        <v>958</v>
      </c>
      <c r="D106" s="2">
        <v>43278.0</v>
      </c>
      <c r="E106" s="1" t="s">
        <v>959</v>
      </c>
      <c r="F106" s="1" t="s">
        <v>960</v>
      </c>
      <c r="G106" s="1" t="s">
        <v>961</v>
      </c>
      <c r="H106" s="1" t="s">
        <v>962</v>
      </c>
      <c r="L106" s="1" t="s">
        <v>963</v>
      </c>
      <c r="M106" s="1" t="s">
        <v>964</v>
      </c>
      <c r="N106" s="1">
        <v>3179.0</v>
      </c>
      <c r="O106" s="1" t="s">
        <v>49</v>
      </c>
      <c r="P106" s="1">
        <v>4.05061555E8</v>
      </c>
      <c r="Q106" s="1" t="str">
        <f>"405061555"</f>
        <v>405061555</v>
      </c>
      <c r="S106" s="1" t="str">
        <f t="shared" ref="S106:S116" si="28">""</f>
        <v/>
      </c>
      <c r="T106" s="1">
        <v>4.05061555E8</v>
      </c>
      <c r="U106" s="1" t="str">
        <f>"0405061555"</f>
        <v>0405061555</v>
      </c>
      <c r="V106" s="1" t="s">
        <v>965</v>
      </c>
      <c r="W106" s="1" t="s">
        <v>70</v>
      </c>
      <c r="Y106" s="1" t="s">
        <v>115</v>
      </c>
      <c r="Z106" s="1" t="s">
        <v>966</v>
      </c>
      <c r="AB106" s="1" t="s">
        <v>54</v>
      </c>
      <c r="AC106" s="1" t="s">
        <v>55</v>
      </c>
      <c r="AD106" s="1">
        <v>3.0</v>
      </c>
      <c r="AE106" s="1" t="s">
        <v>56</v>
      </c>
      <c r="AF106" s="1">
        <v>3.0</v>
      </c>
      <c r="AG106" s="1" t="s">
        <v>958</v>
      </c>
      <c r="AH106" s="2">
        <v>43278.0</v>
      </c>
      <c r="AI106" s="1" t="s">
        <v>440</v>
      </c>
      <c r="AJ106" s="1">
        <v>35.0</v>
      </c>
      <c r="AK106" s="1">
        <v>36.0</v>
      </c>
      <c r="AL106" s="1">
        <v>2.0</v>
      </c>
      <c r="AM106" s="1" t="s">
        <v>58</v>
      </c>
    </row>
    <row r="107" ht="15.75" customHeight="1">
      <c r="A107" s="1" t="s">
        <v>967</v>
      </c>
      <c r="B107" s="1" t="s">
        <v>41</v>
      </c>
      <c r="C107" s="1" t="s">
        <v>968</v>
      </c>
      <c r="D107" s="2">
        <v>43278.0</v>
      </c>
      <c r="E107" s="1" t="s">
        <v>969</v>
      </c>
      <c r="F107" s="1" t="s">
        <v>970</v>
      </c>
      <c r="G107" s="1" t="s">
        <v>971</v>
      </c>
      <c r="H107" s="1" t="s">
        <v>972</v>
      </c>
      <c r="L107" s="1" t="s">
        <v>973</v>
      </c>
      <c r="M107" s="1" t="s">
        <v>569</v>
      </c>
      <c r="N107" s="1">
        <v>3108.0</v>
      </c>
      <c r="O107" s="1" t="s">
        <v>49</v>
      </c>
      <c r="P107" s="1">
        <v>4.26042427E8</v>
      </c>
      <c r="Q107" s="1" t="str">
        <f>"426042427"</f>
        <v>426042427</v>
      </c>
      <c r="S107" s="1" t="str">
        <f t="shared" si="28"/>
        <v/>
      </c>
      <c r="T107" s="1">
        <v>4.26042427E8</v>
      </c>
      <c r="U107" s="1" t="str">
        <f>"0426042427"</f>
        <v>0426042427</v>
      </c>
      <c r="V107" s="1" t="s">
        <v>974</v>
      </c>
      <c r="W107" s="1" t="s">
        <v>51</v>
      </c>
      <c r="Y107" s="1" t="s">
        <v>115</v>
      </c>
      <c r="Z107" s="1" t="s">
        <v>975</v>
      </c>
      <c r="AB107" s="1" t="s">
        <v>54</v>
      </c>
      <c r="AC107" s="1" t="s">
        <v>55</v>
      </c>
      <c r="AD107" s="1">
        <v>3.0</v>
      </c>
      <c r="AE107" s="1" t="s">
        <v>56</v>
      </c>
      <c r="AF107" s="1">
        <v>3.0</v>
      </c>
      <c r="AG107" s="1" t="s">
        <v>968</v>
      </c>
      <c r="AH107" s="2">
        <v>43278.0</v>
      </c>
      <c r="AI107" s="1" t="s">
        <v>96</v>
      </c>
      <c r="AJ107" s="1">
        <v>6.0</v>
      </c>
      <c r="AK107" s="1">
        <v>7.0</v>
      </c>
      <c r="AL107" s="1">
        <v>2.0</v>
      </c>
      <c r="AM107" s="1" t="s">
        <v>58</v>
      </c>
    </row>
    <row r="108" ht="15.75" customHeight="1">
      <c r="A108" s="1" t="s">
        <v>976</v>
      </c>
      <c r="B108" s="1" t="s">
        <v>41</v>
      </c>
      <c r="C108" s="1" t="s">
        <v>977</v>
      </c>
      <c r="D108" s="2">
        <v>43278.0</v>
      </c>
      <c r="E108" s="1" t="s">
        <v>978</v>
      </c>
      <c r="F108" s="1" t="s">
        <v>979</v>
      </c>
      <c r="G108" s="1" t="s">
        <v>980</v>
      </c>
      <c r="H108" s="1" t="s">
        <v>981</v>
      </c>
      <c r="L108" s="1" t="s">
        <v>982</v>
      </c>
      <c r="M108" s="1" t="s">
        <v>983</v>
      </c>
      <c r="N108" s="1">
        <v>3141.0</v>
      </c>
      <c r="O108" s="1" t="s">
        <v>49</v>
      </c>
      <c r="P108" s="1">
        <v>4.66414489E8</v>
      </c>
      <c r="Q108" s="1" t="str">
        <f>"466414489"</f>
        <v>466414489</v>
      </c>
      <c r="S108" s="1" t="str">
        <f t="shared" si="28"/>
        <v/>
      </c>
      <c r="U108" s="1" t="str">
        <f>""</f>
        <v/>
      </c>
      <c r="V108" s="1" t="s">
        <v>984</v>
      </c>
      <c r="W108" s="1" t="s">
        <v>70</v>
      </c>
      <c r="Y108" s="1" t="s">
        <v>115</v>
      </c>
      <c r="Z108" s="1" t="s">
        <v>985</v>
      </c>
      <c r="AB108" s="1" t="s">
        <v>54</v>
      </c>
      <c r="AC108" s="1" t="s">
        <v>55</v>
      </c>
      <c r="AD108" s="1">
        <v>3.0</v>
      </c>
      <c r="AE108" s="1" t="s">
        <v>56</v>
      </c>
      <c r="AF108" s="1">
        <v>3.0</v>
      </c>
      <c r="AG108" s="1" t="s">
        <v>977</v>
      </c>
      <c r="AH108" s="2">
        <v>43278.0</v>
      </c>
      <c r="AI108" s="1" t="s">
        <v>670</v>
      </c>
      <c r="AJ108" s="1">
        <v>19.0</v>
      </c>
      <c r="AK108" s="1">
        <v>20.0</v>
      </c>
      <c r="AL108" s="1">
        <v>2.0</v>
      </c>
      <c r="AM108" s="1" t="s">
        <v>58</v>
      </c>
    </row>
    <row r="109" ht="15.75" customHeight="1">
      <c r="A109" s="1" t="s">
        <v>986</v>
      </c>
      <c r="B109" s="1" t="s">
        <v>41</v>
      </c>
      <c r="C109" s="1" t="s">
        <v>987</v>
      </c>
      <c r="D109" s="2">
        <v>43279.0</v>
      </c>
      <c r="E109" s="1" t="s">
        <v>988</v>
      </c>
      <c r="F109" s="1" t="s">
        <v>989</v>
      </c>
      <c r="G109" s="1" t="s">
        <v>990</v>
      </c>
      <c r="H109" s="1" t="s">
        <v>991</v>
      </c>
      <c r="L109" s="1" t="s">
        <v>992</v>
      </c>
      <c r="M109" s="1" t="s">
        <v>156</v>
      </c>
      <c r="N109" s="1">
        <v>3150.0</v>
      </c>
      <c r="O109" s="1" t="s">
        <v>49</v>
      </c>
      <c r="P109" s="1">
        <v>4.05058382E8</v>
      </c>
      <c r="Q109" s="1" t="str">
        <f>"405058382"</f>
        <v>405058382</v>
      </c>
      <c r="S109" s="1" t="str">
        <f t="shared" si="28"/>
        <v/>
      </c>
      <c r="T109" s="1">
        <v>4.05058382E8</v>
      </c>
      <c r="U109" s="1" t="str">
        <f>"0405058382"</f>
        <v>0405058382</v>
      </c>
      <c r="V109" s="1" t="s">
        <v>993</v>
      </c>
      <c r="W109" s="1" t="s">
        <v>51</v>
      </c>
      <c r="Y109" s="1" t="s">
        <v>115</v>
      </c>
      <c r="Z109" s="1" t="s">
        <v>994</v>
      </c>
      <c r="AB109" s="1" t="s">
        <v>54</v>
      </c>
      <c r="AC109" s="1" t="s">
        <v>83</v>
      </c>
      <c r="AD109" s="1">
        <v>3.0</v>
      </c>
      <c r="AE109" s="1" t="s">
        <v>56</v>
      </c>
      <c r="AF109" s="1">
        <v>3.0</v>
      </c>
      <c r="AG109" s="1" t="s">
        <v>987</v>
      </c>
      <c r="AH109" s="2">
        <v>43279.0</v>
      </c>
      <c r="AI109" s="1" t="s">
        <v>670</v>
      </c>
      <c r="AJ109" s="1">
        <v>32.0</v>
      </c>
      <c r="AK109" s="1">
        <v>33.0</v>
      </c>
      <c r="AL109" s="1">
        <v>2.0</v>
      </c>
      <c r="AM109" s="1" t="s">
        <v>58</v>
      </c>
    </row>
    <row r="110" ht="15.75" customHeight="1">
      <c r="A110" s="1" t="s">
        <v>995</v>
      </c>
      <c r="B110" s="1" t="s">
        <v>41</v>
      </c>
      <c r="C110" s="1" t="s">
        <v>996</v>
      </c>
      <c r="D110" s="2">
        <v>43279.0</v>
      </c>
      <c r="E110" s="1" t="s">
        <v>997</v>
      </c>
      <c r="F110" s="1" t="s">
        <v>998</v>
      </c>
      <c r="G110" s="1" t="s">
        <v>603</v>
      </c>
      <c r="H110" s="1" t="s">
        <v>999</v>
      </c>
      <c r="L110" s="1" t="s">
        <v>1000</v>
      </c>
      <c r="M110" s="1" t="s">
        <v>569</v>
      </c>
      <c r="N110" s="1">
        <v>3108.0</v>
      </c>
      <c r="O110" s="1" t="s">
        <v>49</v>
      </c>
      <c r="P110" s="1">
        <v>4.13383005E8</v>
      </c>
      <c r="Q110" s="1" t="str">
        <f>"413383005"</f>
        <v>413383005</v>
      </c>
      <c r="S110" s="1" t="str">
        <f t="shared" si="28"/>
        <v/>
      </c>
      <c r="T110" s="1">
        <v>4.68967764E8</v>
      </c>
      <c r="U110" s="1" t="str">
        <f>"0468967764"</f>
        <v>0468967764</v>
      </c>
      <c r="V110" s="1" t="s">
        <v>1001</v>
      </c>
      <c r="W110" s="1" t="s">
        <v>51</v>
      </c>
      <c r="Y110" s="1" t="s">
        <v>52</v>
      </c>
      <c r="Z110" s="1" t="s">
        <v>1002</v>
      </c>
      <c r="AB110" s="1" t="s">
        <v>54</v>
      </c>
      <c r="AC110" s="1" t="s">
        <v>83</v>
      </c>
      <c r="AD110" s="1">
        <v>3.0</v>
      </c>
      <c r="AE110" s="1" t="s">
        <v>56</v>
      </c>
      <c r="AF110" s="1">
        <v>3.0</v>
      </c>
      <c r="AG110" s="1" t="s">
        <v>996</v>
      </c>
      <c r="AH110" s="2">
        <v>43279.0</v>
      </c>
      <c r="AI110" s="1" t="s">
        <v>1003</v>
      </c>
      <c r="AJ110" s="1">
        <v>21.0</v>
      </c>
      <c r="AK110" s="1">
        <v>27.0</v>
      </c>
      <c r="AL110" s="1">
        <v>7.0</v>
      </c>
      <c r="AM110" s="1" t="s">
        <v>58</v>
      </c>
    </row>
    <row r="111" ht="15.75" customHeight="1">
      <c r="A111" s="1" t="s">
        <v>1004</v>
      </c>
      <c r="B111" s="1" t="s">
        <v>41</v>
      </c>
      <c r="C111" s="1" t="s">
        <v>1005</v>
      </c>
      <c r="D111" s="2">
        <v>43279.0</v>
      </c>
      <c r="E111" s="1" t="s">
        <v>1006</v>
      </c>
      <c r="F111" s="1" t="s">
        <v>1007</v>
      </c>
      <c r="G111" s="1" t="s">
        <v>1008</v>
      </c>
      <c r="H111" s="1" t="s">
        <v>1009</v>
      </c>
      <c r="L111" s="1" t="s">
        <v>1010</v>
      </c>
      <c r="M111" s="1" t="s">
        <v>1011</v>
      </c>
      <c r="N111" s="1">
        <v>3134.0</v>
      </c>
      <c r="O111" s="1" t="s">
        <v>49</v>
      </c>
      <c r="P111" s="1">
        <v>4.69342717E8</v>
      </c>
      <c r="Q111" s="1" t="str">
        <f>"469342717"</f>
        <v>469342717</v>
      </c>
      <c r="S111" s="1" t="str">
        <f t="shared" si="28"/>
        <v/>
      </c>
      <c r="U111" s="1" t="str">
        <f>""</f>
        <v/>
      </c>
      <c r="V111" s="1" t="s">
        <v>1012</v>
      </c>
      <c r="W111" s="1" t="s">
        <v>51</v>
      </c>
      <c r="Y111" s="1" t="s">
        <v>115</v>
      </c>
      <c r="Z111" s="1" t="s">
        <v>1013</v>
      </c>
      <c r="AB111" s="1" t="s">
        <v>54</v>
      </c>
      <c r="AC111" s="1" t="s">
        <v>55</v>
      </c>
      <c r="AD111" s="1">
        <v>2.0</v>
      </c>
      <c r="AE111" s="1" t="s">
        <v>56</v>
      </c>
      <c r="AF111" s="1">
        <v>2.0</v>
      </c>
      <c r="AG111" s="1" t="s">
        <v>1014</v>
      </c>
      <c r="AH111" s="2">
        <v>43294.0</v>
      </c>
      <c r="AI111" s="1" t="s">
        <v>138</v>
      </c>
      <c r="AJ111" s="1">
        <v>8.0</v>
      </c>
      <c r="AK111" s="1">
        <v>11.0</v>
      </c>
      <c r="AL111" s="1">
        <v>4.0</v>
      </c>
      <c r="AM111" s="1" t="s">
        <v>58</v>
      </c>
    </row>
    <row r="112" ht="15.75" customHeight="1">
      <c r="A112" s="1" t="s">
        <v>1015</v>
      </c>
      <c r="B112" s="1" t="s">
        <v>41</v>
      </c>
      <c r="C112" s="1" t="s">
        <v>1016</v>
      </c>
      <c r="D112" s="2">
        <v>43279.0</v>
      </c>
      <c r="E112" s="1" t="s">
        <v>1017</v>
      </c>
      <c r="F112" s="1" t="s">
        <v>1018</v>
      </c>
      <c r="G112" s="1" t="s">
        <v>1019</v>
      </c>
      <c r="H112" s="1" t="s">
        <v>1020</v>
      </c>
      <c r="L112" s="1" t="s">
        <v>1021</v>
      </c>
      <c r="M112" s="1" t="s">
        <v>549</v>
      </c>
      <c r="N112" s="1">
        <v>3023.0</v>
      </c>
      <c r="O112" s="1" t="s">
        <v>49</v>
      </c>
      <c r="P112" s="1">
        <v>3.9449983E8</v>
      </c>
      <c r="Q112" s="1" t="str">
        <f>"394499830"</f>
        <v>394499830</v>
      </c>
      <c r="S112" s="1" t="str">
        <f t="shared" si="28"/>
        <v/>
      </c>
      <c r="T112" s="1">
        <v>4.17037106E8</v>
      </c>
      <c r="U112" s="1" t="str">
        <f>"0417037106"</f>
        <v>0417037106</v>
      </c>
      <c r="V112" s="1" t="s">
        <v>1022</v>
      </c>
      <c r="W112" s="1" t="s">
        <v>51</v>
      </c>
      <c r="Y112" s="1" t="s">
        <v>52</v>
      </c>
      <c r="Z112" s="1" t="s">
        <v>1023</v>
      </c>
      <c r="AB112" s="1" t="s">
        <v>54</v>
      </c>
      <c r="AC112" s="1" t="s">
        <v>55</v>
      </c>
      <c r="AD112" s="1">
        <v>4.0</v>
      </c>
      <c r="AE112" s="1" t="s">
        <v>180</v>
      </c>
      <c r="AF112" s="1">
        <v>4.0</v>
      </c>
      <c r="AG112" s="1" t="s">
        <v>1016</v>
      </c>
      <c r="AH112" s="2">
        <v>43279.0</v>
      </c>
      <c r="AI112" s="1" t="s">
        <v>1024</v>
      </c>
      <c r="AJ112" s="1">
        <v>20.0</v>
      </c>
      <c r="AK112" s="1">
        <v>21.0</v>
      </c>
      <c r="AL112" s="1">
        <v>2.0</v>
      </c>
      <c r="AM112" s="1" t="s">
        <v>58</v>
      </c>
    </row>
    <row r="113" ht="15.75" customHeight="1">
      <c r="A113" s="1" t="s">
        <v>1025</v>
      </c>
      <c r="B113" s="1" t="s">
        <v>41</v>
      </c>
      <c r="C113" s="1" t="s">
        <v>1026</v>
      </c>
      <c r="D113" s="2">
        <v>43279.0</v>
      </c>
      <c r="E113" s="1" t="s">
        <v>1027</v>
      </c>
      <c r="F113" s="1" t="s">
        <v>1028</v>
      </c>
      <c r="G113" s="1" t="s">
        <v>1029</v>
      </c>
      <c r="H113" s="1" t="s">
        <v>416</v>
      </c>
      <c r="L113" s="1" t="s">
        <v>1030</v>
      </c>
      <c r="M113" s="1" t="s">
        <v>156</v>
      </c>
      <c r="N113" s="1">
        <v>3000.0</v>
      </c>
      <c r="O113" s="1" t="s">
        <v>49</v>
      </c>
      <c r="P113" s="1">
        <v>4.19861099E8</v>
      </c>
      <c r="Q113" s="1" t="str">
        <f>"419861099"</f>
        <v>419861099</v>
      </c>
      <c r="S113" s="1" t="str">
        <f t="shared" si="28"/>
        <v/>
      </c>
      <c r="T113" s="1">
        <v>4.19861099E8</v>
      </c>
      <c r="U113" s="1" t="str">
        <f>"0419861099"</f>
        <v>0419861099</v>
      </c>
      <c r="V113" s="1" t="s">
        <v>1031</v>
      </c>
      <c r="W113" s="1" t="s">
        <v>51</v>
      </c>
      <c r="Y113" s="1" t="s">
        <v>52</v>
      </c>
      <c r="Z113" s="1" t="s">
        <v>1032</v>
      </c>
      <c r="AB113" s="1" t="s">
        <v>54</v>
      </c>
      <c r="AC113" s="1" t="s">
        <v>55</v>
      </c>
      <c r="AD113" s="1">
        <v>3.0</v>
      </c>
      <c r="AE113" s="1" t="s">
        <v>56</v>
      </c>
      <c r="AF113" s="1">
        <v>3.0</v>
      </c>
      <c r="AG113" s="1" t="s">
        <v>1026</v>
      </c>
      <c r="AH113" s="2">
        <v>43279.0</v>
      </c>
      <c r="AI113" s="1" t="s">
        <v>440</v>
      </c>
      <c r="AJ113" s="1">
        <v>37.0</v>
      </c>
      <c r="AK113" s="1">
        <v>41.0</v>
      </c>
      <c r="AL113" s="1">
        <v>5.0</v>
      </c>
      <c r="AM113" s="1" t="s">
        <v>58</v>
      </c>
    </row>
    <row r="114" ht="15.75" customHeight="1">
      <c r="A114" s="1" t="s">
        <v>1033</v>
      </c>
      <c r="B114" s="1" t="s">
        <v>41</v>
      </c>
      <c r="C114" s="1" t="s">
        <v>1034</v>
      </c>
      <c r="D114" s="2">
        <v>43280.0</v>
      </c>
      <c r="E114" s="1" t="s">
        <v>1035</v>
      </c>
      <c r="F114" s="1" t="s">
        <v>1036</v>
      </c>
      <c r="G114" s="1" t="s">
        <v>1037</v>
      </c>
      <c r="H114" s="1" t="s">
        <v>807</v>
      </c>
      <c r="L114" s="1" t="s">
        <v>1038</v>
      </c>
      <c r="M114" s="1" t="s">
        <v>1039</v>
      </c>
      <c r="N114" s="1">
        <v>3199.0</v>
      </c>
      <c r="O114" s="1" t="s">
        <v>49</v>
      </c>
      <c r="P114" s="1">
        <v>4.20226598E8</v>
      </c>
      <c r="Q114" s="1" t="str">
        <f>"420226598"</f>
        <v>420226598</v>
      </c>
      <c r="S114" s="1" t="str">
        <f t="shared" si="28"/>
        <v/>
      </c>
      <c r="T114" s="1">
        <v>4.20226598E8</v>
      </c>
      <c r="U114" s="1" t="str">
        <f>"0420226598"</f>
        <v>0420226598</v>
      </c>
      <c r="V114" s="1" t="s">
        <v>1040</v>
      </c>
      <c r="W114" s="1" t="s">
        <v>70</v>
      </c>
      <c r="Y114" s="1" t="s">
        <v>52</v>
      </c>
      <c r="Z114" s="1" t="s">
        <v>1041</v>
      </c>
      <c r="AB114" s="1" t="s">
        <v>54</v>
      </c>
      <c r="AC114" s="1" t="s">
        <v>55</v>
      </c>
      <c r="AD114" s="1">
        <v>3.0</v>
      </c>
      <c r="AE114" s="1" t="s">
        <v>56</v>
      </c>
      <c r="AF114" s="1">
        <v>3.0</v>
      </c>
      <c r="AG114" s="1" t="s">
        <v>1034</v>
      </c>
      <c r="AH114" s="2">
        <v>43280.0</v>
      </c>
      <c r="AI114" s="1" t="s">
        <v>1003</v>
      </c>
      <c r="AJ114" s="1">
        <v>19.0</v>
      </c>
      <c r="AK114" s="1">
        <v>20.0</v>
      </c>
      <c r="AL114" s="1">
        <v>2.0</v>
      </c>
      <c r="AM114" s="1" t="s">
        <v>58</v>
      </c>
    </row>
    <row r="115" ht="15.75" customHeight="1">
      <c r="A115" s="1" t="s">
        <v>1042</v>
      </c>
      <c r="B115" s="1" t="s">
        <v>41</v>
      </c>
      <c r="C115" s="1" t="s">
        <v>1043</v>
      </c>
      <c r="D115" s="2">
        <v>43280.0</v>
      </c>
      <c r="E115" s="1" t="s">
        <v>1044</v>
      </c>
      <c r="F115" s="1" t="s">
        <v>1045</v>
      </c>
      <c r="G115" s="1" t="s">
        <v>1046</v>
      </c>
      <c r="H115" s="1" t="s">
        <v>1047</v>
      </c>
      <c r="L115" s="1" t="s">
        <v>1048</v>
      </c>
      <c r="M115" s="1" t="s">
        <v>378</v>
      </c>
      <c r="N115" s="1">
        <v>3101.0</v>
      </c>
      <c r="O115" s="1" t="s">
        <v>49</v>
      </c>
      <c r="P115" s="1">
        <v>4.50429762E8</v>
      </c>
      <c r="Q115" s="1" t="str">
        <f>"450429762"</f>
        <v>450429762</v>
      </c>
      <c r="S115" s="1" t="str">
        <f t="shared" si="28"/>
        <v/>
      </c>
      <c r="T115" s="1">
        <v>4.50429762E8</v>
      </c>
      <c r="U115" s="1" t="str">
        <f>"0450429762"</f>
        <v>0450429762</v>
      </c>
      <c r="V115" s="1" t="s">
        <v>1049</v>
      </c>
      <c r="W115" s="1" t="s">
        <v>70</v>
      </c>
      <c r="Y115" s="1" t="s">
        <v>52</v>
      </c>
      <c r="Z115" s="1" t="s">
        <v>1050</v>
      </c>
      <c r="AB115" s="1" t="s">
        <v>54</v>
      </c>
      <c r="AC115" s="1" t="s">
        <v>83</v>
      </c>
      <c r="AD115" s="1">
        <v>3.0</v>
      </c>
      <c r="AE115" s="1" t="s">
        <v>56</v>
      </c>
      <c r="AF115" s="1">
        <v>3.0</v>
      </c>
      <c r="AG115" s="1" t="s">
        <v>1043</v>
      </c>
      <c r="AH115" s="2">
        <v>43280.0</v>
      </c>
      <c r="AI115" s="1" t="s">
        <v>670</v>
      </c>
      <c r="AJ115" s="1">
        <v>17.0</v>
      </c>
      <c r="AK115" s="1">
        <v>18.0</v>
      </c>
      <c r="AL115" s="1">
        <v>2.0</v>
      </c>
      <c r="AM115" s="1" t="s">
        <v>58</v>
      </c>
    </row>
    <row r="116" ht="15.75" customHeight="1">
      <c r="A116" s="1" t="s">
        <v>1051</v>
      </c>
      <c r="B116" s="1" t="s">
        <v>41</v>
      </c>
      <c r="C116" s="1" t="s">
        <v>1052</v>
      </c>
      <c r="D116" s="2">
        <v>43280.0</v>
      </c>
      <c r="E116" s="1" t="s">
        <v>1053</v>
      </c>
      <c r="F116" s="1" t="s">
        <v>1054</v>
      </c>
      <c r="G116" s="1" t="s">
        <v>1055</v>
      </c>
      <c r="H116" s="1" t="s">
        <v>807</v>
      </c>
      <c r="L116" s="1" t="s">
        <v>1056</v>
      </c>
      <c r="M116" s="1" t="s">
        <v>1057</v>
      </c>
      <c r="N116" s="1">
        <v>3042.0</v>
      </c>
      <c r="O116" s="1" t="s">
        <v>49</v>
      </c>
      <c r="P116" s="1">
        <v>4.5258E8</v>
      </c>
      <c r="Q116" s="1" t="str">
        <f>"452580000"</f>
        <v>452580000</v>
      </c>
      <c r="S116" s="1" t="str">
        <f t="shared" si="28"/>
        <v/>
      </c>
      <c r="T116" s="1">
        <v>6.145258E10</v>
      </c>
      <c r="U116" s="1" t="str">
        <f>"61452580000"</f>
        <v>61452580000</v>
      </c>
      <c r="V116" s="1" t="s">
        <v>1058</v>
      </c>
      <c r="W116" s="1" t="s">
        <v>51</v>
      </c>
      <c r="Y116" s="1" t="s">
        <v>115</v>
      </c>
      <c r="Z116" s="1" t="s">
        <v>1059</v>
      </c>
      <c r="AB116" s="1" t="s">
        <v>54</v>
      </c>
      <c r="AC116" s="1" t="s">
        <v>55</v>
      </c>
      <c r="AD116" s="1">
        <v>3.0</v>
      </c>
      <c r="AE116" s="1" t="s">
        <v>56</v>
      </c>
      <c r="AF116" s="1">
        <v>3.0</v>
      </c>
      <c r="AG116" s="1" t="s">
        <v>1052</v>
      </c>
      <c r="AH116" s="2">
        <v>43280.0</v>
      </c>
      <c r="AI116" s="1" t="s">
        <v>1003</v>
      </c>
      <c r="AJ116" s="1">
        <v>17.0</v>
      </c>
      <c r="AK116" s="1">
        <v>18.0</v>
      </c>
      <c r="AL116" s="1">
        <v>2.0</v>
      </c>
      <c r="AM116" s="1" t="s">
        <v>58</v>
      </c>
    </row>
    <row r="117" ht="15.75" customHeight="1">
      <c r="A117" s="1" t="s">
        <v>1060</v>
      </c>
      <c r="B117" s="1" t="s">
        <v>41</v>
      </c>
      <c r="C117" s="1" t="s">
        <v>1061</v>
      </c>
      <c r="D117" s="2">
        <v>43280.0</v>
      </c>
      <c r="E117" s="1" t="s">
        <v>1062</v>
      </c>
      <c r="F117" s="1" t="s">
        <v>1063</v>
      </c>
      <c r="G117" s="1" t="s">
        <v>1064</v>
      </c>
      <c r="H117" s="1" t="s">
        <v>1065</v>
      </c>
      <c r="K117" s="1" t="s">
        <v>1066</v>
      </c>
      <c r="L117" s="1" t="s">
        <v>1067</v>
      </c>
      <c r="M117" s="1" t="s">
        <v>1068</v>
      </c>
      <c r="N117" s="1">
        <v>3149.0</v>
      </c>
      <c r="O117" s="1" t="s">
        <v>49</v>
      </c>
      <c r="P117" s="1">
        <v>6.140410336E9</v>
      </c>
      <c r="Q117" s="1" t="str">
        <f>"6140410336"</f>
        <v>6140410336</v>
      </c>
      <c r="R117" s="1">
        <v>6.0</v>
      </c>
      <c r="S117" s="1" t="str">
        <f>"6"</f>
        <v>6</v>
      </c>
      <c r="U117" s="1" t="str">
        <f t="shared" ref="U117:U118" si="29">""</f>
        <v/>
      </c>
      <c r="V117" s="1" t="s">
        <v>1069</v>
      </c>
      <c r="W117" s="1" t="s">
        <v>51</v>
      </c>
      <c r="Y117" s="1" t="s">
        <v>115</v>
      </c>
      <c r="Z117" s="1" t="s">
        <v>1070</v>
      </c>
      <c r="AB117" s="1" t="s">
        <v>54</v>
      </c>
      <c r="AC117" s="1" t="s">
        <v>1071</v>
      </c>
      <c r="AD117" s="1">
        <v>2.0</v>
      </c>
      <c r="AE117" s="1" t="s">
        <v>56</v>
      </c>
      <c r="AF117" s="1">
        <v>2.0</v>
      </c>
      <c r="AG117" s="1" t="s">
        <v>1061</v>
      </c>
      <c r="AH117" s="2">
        <v>43280.0</v>
      </c>
      <c r="AI117" s="1" t="s">
        <v>321</v>
      </c>
      <c r="AJ117" s="1">
        <v>4.0</v>
      </c>
      <c r="AK117" s="1">
        <v>5.0</v>
      </c>
      <c r="AL117" s="1">
        <v>2.0</v>
      </c>
      <c r="AM117" s="1" t="s">
        <v>58</v>
      </c>
    </row>
    <row r="118" ht="15.75" customHeight="1">
      <c r="A118" s="1" t="s">
        <v>1072</v>
      </c>
      <c r="B118" s="1" t="s">
        <v>41</v>
      </c>
      <c r="C118" s="1" t="s">
        <v>968</v>
      </c>
      <c r="D118" s="2">
        <v>43280.0</v>
      </c>
      <c r="E118" s="1" t="s">
        <v>1073</v>
      </c>
      <c r="F118" s="1" t="s">
        <v>1074</v>
      </c>
      <c r="G118" s="1" t="s">
        <v>305</v>
      </c>
      <c r="H118" s="1" t="s">
        <v>665</v>
      </c>
      <c r="L118" s="1" t="s">
        <v>1075</v>
      </c>
      <c r="M118" s="1" t="s">
        <v>418</v>
      </c>
      <c r="N118" s="1">
        <v>3183.0</v>
      </c>
      <c r="O118" s="1" t="s">
        <v>49</v>
      </c>
      <c r="P118" s="1">
        <v>4.14316132E8</v>
      </c>
      <c r="Q118" s="1" t="str">
        <f>"414316132"</f>
        <v>414316132</v>
      </c>
      <c r="S118" s="1" t="str">
        <f t="shared" ref="S118:S129" si="30">""</f>
        <v/>
      </c>
      <c r="U118" s="1" t="str">
        <f t="shared" si="29"/>
        <v/>
      </c>
      <c r="V118" s="1" t="s">
        <v>1076</v>
      </c>
      <c r="W118" s="1" t="s">
        <v>51</v>
      </c>
      <c r="Y118" s="1" t="s">
        <v>115</v>
      </c>
      <c r="Z118" s="1" t="s">
        <v>1077</v>
      </c>
      <c r="AB118" s="1" t="s">
        <v>54</v>
      </c>
      <c r="AC118" s="1" t="s">
        <v>55</v>
      </c>
      <c r="AD118" s="1">
        <v>3.0</v>
      </c>
      <c r="AE118" s="1" t="s">
        <v>56</v>
      </c>
      <c r="AF118" s="1">
        <v>3.0</v>
      </c>
      <c r="AG118" s="1" t="s">
        <v>968</v>
      </c>
      <c r="AH118" s="2">
        <v>43280.0</v>
      </c>
      <c r="AI118" s="1" t="s">
        <v>1078</v>
      </c>
      <c r="AJ118" s="1">
        <v>20.0</v>
      </c>
      <c r="AK118" s="1">
        <v>21.0</v>
      </c>
      <c r="AL118" s="1">
        <v>2.0</v>
      </c>
      <c r="AM118" s="1" t="s">
        <v>58</v>
      </c>
    </row>
    <row r="119" ht="15.75" customHeight="1">
      <c r="A119" s="1" t="s">
        <v>1079</v>
      </c>
      <c r="B119" s="1" t="s">
        <v>41</v>
      </c>
      <c r="C119" s="1" t="s">
        <v>1080</v>
      </c>
      <c r="D119" s="2">
        <v>43281.0</v>
      </c>
      <c r="E119" s="1" t="s">
        <v>1081</v>
      </c>
      <c r="F119" s="1" t="s">
        <v>1082</v>
      </c>
      <c r="G119" s="1" t="s">
        <v>1083</v>
      </c>
      <c r="H119" s="1" t="s">
        <v>186</v>
      </c>
      <c r="L119" s="1" t="s">
        <v>1084</v>
      </c>
      <c r="M119" s="1" t="s">
        <v>828</v>
      </c>
      <c r="N119" s="1">
        <v>3083.0</v>
      </c>
      <c r="O119" s="1" t="s">
        <v>49</v>
      </c>
      <c r="P119" s="1">
        <v>4.03117721E8</v>
      </c>
      <c r="Q119" s="1" t="str">
        <f t="shared" ref="Q119:Q120" si="31">"403117721"</f>
        <v>403117721</v>
      </c>
      <c r="S119" s="1" t="str">
        <f t="shared" si="30"/>
        <v/>
      </c>
      <c r="T119" s="1">
        <v>4.03117721E8</v>
      </c>
      <c r="U119" s="1" t="str">
        <f t="shared" ref="U119:U120" si="32">"0403117721"</f>
        <v>0403117721</v>
      </c>
      <c r="V119" s="1" t="s">
        <v>1085</v>
      </c>
      <c r="W119" s="1" t="s">
        <v>51</v>
      </c>
      <c r="Y119" s="1" t="s">
        <v>52</v>
      </c>
      <c r="Z119" s="1" t="s">
        <v>1086</v>
      </c>
      <c r="AB119" s="1" t="s">
        <v>54</v>
      </c>
      <c r="AC119" s="1" t="s">
        <v>55</v>
      </c>
      <c r="AD119" s="1">
        <v>3.0</v>
      </c>
      <c r="AE119" s="1" t="s">
        <v>56</v>
      </c>
      <c r="AF119" s="1">
        <v>3.0</v>
      </c>
      <c r="AG119" s="1" t="s">
        <v>1080</v>
      </c>
      <c r="AH119" s="2">
        <v>43281.0</v>
      </c>
      <c r="AI119" s="1" t="s">
        <v>440</v>
      </c>
      <c r="AJ119" s="1">
        <v>14.0</v>
      </c>
      <c r="AK119" s="1">
        <v>14.0</v>
      </c>
      <c r="AL119" s="1">
        <v>1.0</v>
      </c>
      <c r="AM119" s="1" t="s">
        <v>58</v>
      </c>
    </row>
    <row r="120" ht="15.75" customHeight="1">
      <c r="A120" s="1" t="s">
        <v>1087</v>
      </c>
      <c r="B120" s="1" t="s">
        <v>41</v>
      </c>
      <c r="C120" s="1" t="s">
        <v>1088</v>
      </c>
      <c r="D120" s="2">
        <v>43281.0</v>
      </c>
      <c r="E120" s="1" t="s">
        <v>1081</v>
      </c>
      <c r="F120" s="1" t="s">
        <v>1082</v>
      </c>
      <c r="G120" s="1" t="s">
        <v>1083</v>
      </c>
      <c r="H120" s="1" t="s">
        <v>186</v>
      </c>
      <c r="L120" s="1" t="s">
        <v>1084</v>
      </c>
      <c r="M120" s="1" t="s">
        <v>828</v>
      </c>
      <c r="N120" s="1">
        <v>3083.0</v>
      </c>
      <c r="O120" s="1" t="s">
        <v>49</v>
      </c>
      <c r="P120" s="1">
        <v>4.03117721E8</v>
      </c>
      <c r="Q120" s="1" t="str">
        <f t="shared" si="31"/>
        <v>403117721</v>
      </c>
      <c r="S120" s="1" t="str">
        <f t="shared" si="30"/>
        <v/>
      </c>
      <c r="T120" s="1">
        <v>4.03117721E8</v>
      </c>
      <c r="U120" s="1" t="str">
        <f t="shared" si="32"/>
        <v>0403117721</v>
      </c>
      <c r="V120" s="1" t="s">
        <v>1085</v>
      </c>
      <c r="W120" s="1" t="s">
        <v>51</v>
      </c>
      <c r="Y120" s="1" t="s">
        <v>52</v>
      </c>
      <c r="Z120" s="1" t="s">
        <v>1086</v>
      </c>
      <c r="AB120" s="1" t="s">
        <v>54</v>
      </c>
      <c r="AC120" s="1" t="s">
        <v>55</v>
      </c>
      <c r="AD120" s="1">
        <v>3.0</v>
      </c>
      <c r="AE120" s="1" t="s">
        <v>56</v>
      </c>
      <c r="AF120" s="1">
        <v>3.0</v>
      </c>
      <c r="AG120" s="1" t="s">
        <v>1088</v>
      </c>
      <c r="AH120" s="2">
        <v>43281.0</v>
      </c>
      <c r="AI120" s="1" t="s">
        <v>490</v>
      </c>
      <c r="AJ120" s="1">
        <v>11.0</v>
      </c>
      <c r="AK120" s="1">
        <v>11.0</v>
      </c>
      <c r="AL120" s="1">
        <v>1.0</v>
      </c>
      <c r="AM120" s="1" t="s">
        <v>58</v>
      </c>
    </row>
    <row r="121" ht="15.75" customHeight="1">
      <c r="A121" s="1" t="s">
        <v>1089</v>
      </c>
      <c r="B121" s="1" t="s">
        <v>41</v>
      </c>
      <c r="C121" s="1" t="s">
        <v>1090</v>
      </c>
      <c r="D121" s="2">
        <v>43281.0</v>
      </c>
      <c r="E121" s="1" t="s">
        <v>1091</v>
      </c>
      <c r="F121" s="1" t="s">
        <v>1092</v>
      </c>
      <c r="G121" s="1" t="s">
        <v>1093</v>
      </c>
      <c r="H121" s="1" t="s">
        <v>1094</v>
      </c>
      <c r="L121" s="1" t="s">
        <v>1095</v>
      </c>
      <c r="M121" s="1" t="s">
        <v>983</v>
      </c>
      <c r="N121" s="1">
        <v>3141.0</v>
      </c>
      <c r="O121" s="1" t="s">
        <v>49</v>
      </c>
      <c r="P121" s="1">
        <v>4.5555597E8</v>
      </c>
      <c r="Q121" s="1" t="str">
        <f>"455555970"</f>
        <v>455555970</v>
      </c>
      <c r="S121" s="1" t="str">
        <f t="shared" si="30"/>
        <v/>
      </c>
      <c r="U121" s="1" t="str">
        <f t="shared" ref="U121:U124" si="33">""</f>
        <v/>
      </c>
      <c r="V121" s="1" t="s">
        <v>1096</v>
      </c>
      <c r="W121" s="1" t="s">
        <v>51</v>
      </c>
      <c r="Y121" s="1" t="s">
        <v>52</v>
      </c>
      <c r="Z121" s="1" t="s">
        <v>1097</v>
      </c>
      <c r="AB121" s="1" t="s">
        <v>54</v>
      </c>
      <c r="AC121" s="1" t="s">
        <v>55</v>
      </c>
      <c r="AD121" s="1">
        <v>4.0</v>
      </c>
      <c r="AE121" s="1" t="s">
        <v>180</v>
      </c>
      <c r="AF121" s="1">
        <v>4.0</v>
      </c>
      <c r="AG121" s="1" t="s">
        <v>1090</v>
      </c>
      <c r="AH121" s="2">
        <v>43281.0</v>
      </c>
      <c r="AI121" s="1" t="s">
        <v>85</v>
      </c>
      <c r="AJ121" s="1">
        <v>14.0</v>
      </c>
      <c r="AK121" s="1">
        <v>16.0</v>
      </c>
      <c r="AL121" s="1">
        <v>3.0</v>
      </c>
      <c r="AM121" s="1" t="s">
        <v>58</v>
      </c>
    </row>
    <row r="122" ht="15.75" customHeight="1">
      <c r="A122" s="1" t="s">
        <v>1098</v>
      </c>
      <c r="B122" s="1" t="s">
        <v>41</v>
      </c>
      <c r="C122" s="1" t="s">
        <v>1099</v>
      </c>
      <c r="D122" s="2">
        <v>43281.0</v>
      </c>
      <c r="E122" s="1" t="s">
        <v>1100</v>
      </c>
      <c r="F122" s="1" t="s">
        <v>1101</v>
      </c>
      <c r="G122" s="1" t="s">
        <v>1102</v>
      </c>
      <c r="H122" s="1" t="s">
        <v>953</v>
      </c>
      <c r="L122" s="1" t="s">
        <v>1103</v>
      </c>
      <c r="M122" s="1" t="s">
        <v>529</v>
      </c>
      <c r="N122" s="1">
        <v>3166.0</v>
      </c>
      <c r="O122" s="1" t="s">
        <v>49</v>
      </c>
      <c r="P122" s="1">
        <v>4.03589147E8</v>
      </c>
      <c r="Q122" s="1" t="str">
        <f>"403589147"</f>
        <v>403589147</v>
      </c>
      <c r="S122" s="1" t="str">
        <f t="shared" si="30"/>
        <v/>
      </c>
      <c r="U122" s="1" t="str">
        <f t="shared" si="33"/>
        <v/>
      </c>
      <c r="V122" s="1" t="s">
        <v>1104</v>
      </c>
      <c r="W122" s="1" t="s">
        <v>70</v>
      </c>
      <c r="Y122" s="1" t="s">
        <v>115</v>
      </c>
      <c r="Z122" s="1" t="s">
        <v>1105</v>
      </c>
      <c r="AB122" s="1" t="s">
        <v>54</v>
      </c>
      <c r="AC122" s="1" t="s">
        <v>55</v>
      </c>
      <c r="AD122" s="1">
        <v>3.0</v>
      </c>
      <c r="AE122" s="1" t="s">
        <v>56</v>
      </c>
      <c r="AF122" s="1">
        <v>3.0</v>
      </c>
      <c r="AG122" s="1" t="s">
        <v>1099</v>
      </c>
      <c r="AH122" s="2">
        <v>43281.0</v>
      </c>
      <c r="AI122" s="1" t="s">
        <v>1078</v>
      </c>
      <c r="AJ122" s="1">
        <v>22.0</v>
      </c>
      <c r="AK122" s="1">
        <v>26.0</v>
      </c>
      <c r="AL122" s="1">
        <v>5.0</v>
      </c>
      <c r="AM122" s="1" t="s">
        <v>58</v>
      </c>
    </row>
    <row r="123" ht="15.75" customHeight="1">
      <c r="A123" s="1" t="s">
        <v>1106</v>
      </c>
      <c r="B123" s="1" t="s">
        <v>41</v>
      </c>
      <c r="C123" s="1" t="s">
        <v>918</v>
      </c>
      <c r="D123" s="2">
        <v>43281.0</v>
      </c>
      <c r="E123" s="1" t="s">
        <v>1107</v>
      </c>
      <c r="F123" s="1" t="s">
        <v>1108</v>
      </c>
      <c r="G123" s="1" t="s">
        <v>1109</v>
      </c>
      <c r="H123" s="1" t="s">
        <v>1110</v>
      </c>
      <c r="L123" s="1" t="s">
        <v>1111</v>
      </c>
      <c r="M123" s="1" t="s">
        <v>569</v>
      </c>
      <c r="N123" s="1">
        <v>3108.0</v>
      </c>
      <c r="O123" s="1" t="s">
        <v>49</v>
      </c>
      <c r="P123" s="1">
        <v>4.14020419E8</v>
      </c>
      <c r="Q123" s="1" t="str">
        <f>"414020419"</f>
        <v>414020419</v>
      </c>
      <c r="S123" s="1" t="str">
        <f t="shared" si="30"/>
        <v/>
      </c>
      <c r="U123" s="1" t="str">
        <f t="shared" si="33"/>
        <v/>
      </c>
      <c r="V123" s="1" t="s">
        <v>1112</v>
      </c>
      <c r="W123" s="1" t="s">
        <v>51</v>
      </c>
      <c r="Y123" s="1" t="s">
        <v>115</v>
      </c>
      <c r="Z123" s="1" t="s">
        <v>1113</v>
      </c>
      <c r="AB123" s="1" t="s">
        <v>54</v>
      </c>
      <c r="AC123" s="1" t="s">
        <v>55</v>
      </c>
      <c r="AD123" s="1">
        <v>3.0</v>
      </c>
      <c r="AE123" s="1" t="s">
        <v>56</v>
      </c>
      <c r="AF123" s="1">
        <v>3.0</v>
      </c>
      <c r="AG123" s="1" t="s">
        <v>918</v>
      </c>
      <c r="AH123" s="2">
        <v>43281.0</v>
      </c>
      <c r="AI123" s="1" t="s">
        <v>96</v>
      </c>
      <c r="AJ123" s="1">
        <v>39.0</v>
      </c>
      <c r="AK123" s="1">
        <v>40.0</v>
      </c>
      <c r="AL123" s="1">
        <v>2.0</v>
      </c>
      <c r="AM123" s="1" t="s">
        <v>58</v>
      </c>
    </row>
    <row r="124" ht="15.75" customHeight="1">
      <c r="A124" s="1" t="s">
        <v>1114</v>
      </c>
      <c r="B124" s="1" t="s">
        <v>41</v>
      </c>
      <c r="C124" s="1" t="s">
        <v>1115</v>
      </c>
      <c r="D124" s="2">
        <v>43281.0</v>
      </c>
      <c r="E124" s="1" t="s">
        <v>1116</v>
      </c>
      <c r="F124" s="1" t="s">
        <v>1117</v>
      </c>
      <c r="G124" s="1" t="s">
        <v>1118</v>
      </c>
      <c r="H124" s="1" t="s">
        <v>1119</v>
      </c>
      <c r="L124" s="1" t="s">
        <v>1120</v>
      </c>
      <c r="M124" s="1" t="s">
        <v>549</v>
      </c>
      <c r="N124" s="1">
        <v>3023.0</v>
      </c>
      <c r="O124" s="1" t="s">
        <v>49</v>
      </c>
      <c r="P124" s="1">
        <v>4.34450867E8</v>
      </c>
      <c r="Q124" s="1" t="str">
        <f>"434450867"</f>
        <v>434450867</v>
      </c>
      <c r="S124" s="1" t="str">
        <f t="shared" si="30"/>
        <v/>
      </c>
      <c r="U124" s="1" t="str">
        <f t="shared" si="33"/>
        <v/>
      </c>
      <c r="V124" s="1" t="s">
        <v>1121</v>
      </c>
      <c r="W124" s="1" t="s">
        <v>51</v>
      </c>
      <c r="Y124" s="1" t="s">
        <v>115</v>
      </c>
      <c r="Z124" s="1" t="s">
        <v>1122</v>
      </c>
      <c r="AB124" s="1" t="s">
        <v>54</v>
      </c>
      <c r="AC124" s="1" t="s">
        <v>55</v>
      </c>
      <c r="AD124" s="1">
        <v>3.0</v>
      </c>
      <c r="AE124" s="1" t="s">
        <v>56</v>
      </c>
      <c r="AF124" s="1">
        <v>3.0</v>
      </c>
      <c r="AG124" s="1" t="s">
        <v>1115</v>
      </c>
      <c r="AH124" s="2">
        <v>43281.0</v>
      </c>
      <c r="AI124" s="1" t="s">
        <v>639</v>
      </c>
      <c r="AJ124" s="1">
        <v>6.0</v>
      </c>
      <c r="AK124" s="1">
        <v>7.0</v>
      </c>
      <c r="AL124" s="1">
        <v>2.0</v>
      </c>
      <c r="AM124" s="1" t="s">
        <v>58</v>
      </c>
    </row>
    <row r="125" ht="15.75" customHeight="1">
      <c r="A125" s="1" t="s">
        <v>1123</v>
      </c>
      <c r="B125" s="1" t="s">
        <v>41</v>
      </c>
      <c r="C125" s="1" t="s">
        <v>1124</v>
      </c>
      <c r="D125" s="2">
        <v>43281.0</v>
      </c>
      <c r="E125" s="1" t="s">
        <v>1125</v>
      </c>
      <c r="F125" s="1" t="s">
        <v>1126</v>
      </c>
      <c r="G125" s="1" t="s">
        <v>1127</v>
      </c>
      <c r="H125" s="1" t="s">
        <v>1128</v>
      </c>
      <c r="L125" s="1" t="s">
        <v>1129</v>
      </c>
      <c r="M125" s="1" t="s">
        <v>296</v>
      </c>
      <c r="N125" s="1">
        <v>3053.0</v>
      </c>
      <c r="O125" s="1" t="s">
        <v>49</v>
      </c>
      <c r="P125" s="1">
        <v>4.28249661E8</v>
      </c>
      <c r="Q125" s="1" t="str">
        <f>"428249661"</f>
        <v>428249661</v>
      </c>
      <c r="S125" s="1" t="str">
        <f t="shared" si="30"/>
        <v/>
      </c>
      <c r="T125" s="1">
        <v>4.28249661E8</v>
      </c>
      <c r="U125" s="1" t="str">
        <f>"0428249661"</f>
        <v>0428249661</v>
      </c>
      <c r="V125" s="1" t="s">
        <v>1130</v>
      </c>
      <c r="W125" s="1" t="s">
        <v>70</v>
      </c>
      <c r="Y125" s="1" t="s">
        <v>115</v>
      </c>
      <c r="Z125" s="1" t="s">
        <v>1131</v>
      </c>
      <c r="AB125" s="1" t="s">
        <v>54</v>
      </c>
      <c r="AC125" s="1" t="s">
        <v>55</v>
      </c>
      <c r="AD125" s="1">
        <v>3.0</v>
      </c>
      <c r="AE125" s="1" t="s">
        <v>56</v>
      </c>
      <c r="AF125" s="1">
        <v>3.0</v>
      </c>
      <c r="AG125" s="1" t="s">
        <v>1124</v>
      </c>
      <c r="AH125" s="2">
        <v>43281.0</v>
      </c>
      <c r="AI125" s="1" t="s">
        <v>1003</v>
      </c>
      <c r="AJ125" s="1">
        <v>15.0</v>
      </c>
      <c r="AK125" s="1">
        <v>16.0</v>
      </c>
      <c r="AL125" s="1">
        <v>2.0</v>
      </c>
      <c r="AM125" s="1" t="s">
        <v>58</v>
      </c>
    </row>
    <row r="126" ht="15.75" customHeight="1">
      <c r="A126" s="1" t="s">
        <v>1132</v>
      </c>
      <c r="B126" s="1" t="s">
        <v>41</v>
      </c>
      <c r="C126" s="1" t="s">
        <v>1133</v>
      </c>
      <c r="D126" s="2">
        <v>43281.0</v>
      </c>
      <c r="E126" s="1" t="s">
        <v>1134</v>
      </c>
      <c r="F126" s="1" t="s">
        <v>1135</v>
      </c>
      <c r="G126" s="1" t="s">
        <v>1136</v>
      </c>
      <c r="H126" s="1" t="s">
        <v>1137</v>
      </c>
      <c r="L126" s="1" t="s">
        <v>1138</v>
      </c>
      <c r="M126" s="1" t="s">
        <v>146</v>
      </c>
      <c r="N126" s="1">
        <v>3106.0</v>
      </c>
      <c r="O126" s="1" t="s">
        <v>49</v>
      </c>
      <c r="P126" s="1">
        <v>4.50914877E8</v>
      </c>
      <c r="Q126" s="1" t="str">
        <f>"450914877"</f>
        <v>450914877</v>
      </c>
      <c r="S126" s="1" t="str">
        <f t="shared" si="30"/>
        <v/>
      </c>
      <c r="T126" s="1">
        <v>4.50914877E8</v>
      </c>
      <c r="U126" s="1" t="str">
        <f>"0450914877"</f>
        <v>0450914877</v>
      </c>
      <c r="V126" s="1" t="s">
        <v>1139</v>
      </c>
      <c r="W126" s="1" t="s">
        <v>51</v>
      </c>
      <c r="Y126" s="1" t="s">
        <v>115</v>
      </c>
      <c r="Z126" s="1" t="s">
        <v>1140</v>
      </c>
      <c r="AB126" s="1" t="s">
        <v>54</v>
      </c>
      <c r="AC126" s="1" t="s">
        <v>55</v>
      </c>
      <c r="AD126" s="1">
        <v>4.0</v>
      </c>
      <c r="AE126" s="1" t="s">
        <v>180</v>
      </c>
      <c r="AF126" s="1">
        <v>4.0</v>
      </c>
      <c r="AG126" s="1" t="s">
        <v>1133</v>
      </c>
      <c r="AH126" s="2">
        <v>43281.0</v>
      </c>
      <c r="AI126" s="1" t="s">
        <v>1024</v>
      </c>
      <c r="AJ126" s="1">
        <v>18.0</v>
      </c>
      <c r="AK126" s="1">
        <v>19.0</v>
      </c>
      <c r="AL126" s="1">
        <v>2.0</v>
      </c>
      <c r="AM126" s="1" t="s">
        <v>58</v>
      </c>
    </row>
    <row r="127" ht="15.75" customHeight="1">
      <c r="A127" s="1" t="s">
        <v>1141</v>
      </c>
      <c r="B127" s="1" t="s">
        <v>41</v>
      </c>
      <c r="C127" s="1" t="s">
        <v>442</v>
      </c>
      <c r="D127" s="2">
        <v>43282.0</v>
      </c>
      <c r="E127" s="1" t="s">
        <v>1142</v>
      </c>
      <c r="F127" s="1" t="s">
        <v>1143</v>
      </c>
      <c r="G127" s="1" t="s">
        <v>1144</v>
      </c>
      <c r="H127" s="1" t="s">
        <v>807</v>
      </c>
      <c r="L127" s="1" t="s">
        <v>1145</v>
      </c>
      <c r="M127" s="1" t="s">
        <v>1146</v>
      </c>
      <c r="N127" s="1">
        <v>3029.0</v>
      </c>
      <c r="O127" s="1" t="s">
        <v>49</v>
      </c>
      <c r="P127" s="1">
        <v>4.011187E8</v>
      </c>
      <c r="Q127" s="1" t="str">
        <f>"401118700"</f>
        <v>401118700</v>
      </c>
      <c r="S127" s="1" t="str">
        <f t="shared" si="30"/>
        <v/>
      </c>
      <c r="T127" s="1">
        <v>4.011187E8</v>
      </c>
      <c r="U127" s="1" t="str">
        <f>"0401118700"</f>
        <v>0401118700</v>
      </c>
      <c r="V127" s="1" t="s">
        <v>1147</v>
      </c>
      <c r="W127" s="1" t="s">
        <v>51</v>
      </c>
      <c r="Y127" s="1" t="s">
        <v>115</v>
      </c>
      <c r="Z127" s="1" t="s">
        <v>1148</v>
      </c>
      <c r="AB127" s="1" t="s">
        <v>54</v>
      </c>
      <c r="AC127" s="1" t="s">
        <v>55</v>
      </c>
      <c r="AD127" s="1">
        <v>3.0</v>
      </c>
      <c r="AE127" s="1" t="s">
        <v>56</v>
      </c>
      <c r="AF127" s="1">
        <v>3.0</v>
      </c>
      <c r="AG127" s="1" t="s">
        <v>442</v>
      </c>
      <c r="AH127" s="2">
        <v>43282.0</v>
      </c>
      <c r="AI127" s="1" t="s">
        <v>1149</v>
      </c>
      <c r="AJ127" s="1">
        <v>26.0</v>
      </c>
      <c r="AK127" s="1">
        <v>27.0</v>
      </c>
      <c r="AL127" s="1">
        <v>2.0</v>
      </c>
      <c r="AM127" s="1" t="s">
        <v>58</v>
      </c>
    </row>
    <row r="128" ht="15.75" customHeight="1">
      <c r="A128" s="1" t="s">
        <v>1150</v>
      </c>
      <c r="B128" s="1" t="s">
        <v>41</v>
      </c>
      <c r="C128" s="1" t="s">
        <v>1151</v>
      </c>
      <c r="D128" s="2">
        <v>43282.0</v>
      </c>
      <c r="E128" s="1" t="s">
        <v>1152</v>
      </c>
      <c r="F128" s="1" t="s">
        <v>1153</v>
      </c>
      <c r="G128" s="1" t="s">
        <v>1154</v>
      </c>
      <c r="H128" s="1" t="s">
        <v>1155</v>
      </c>
      <c r="L128" s="1" t="s">
        <v>1156</v>
      </c>
      <c r="M128" s="1" t="s">
        <v>113</v>
      </c>
      <c r="N128" s="1">
        <v>3124.0</v>
      </c>
      <c r="O128" s="1" t="s">
        <v>49</v>
      </c>
      <c r="P128" s="1">
        <v>4.01619641E8</v>
      </c>
      <c r="Q128" s="1" t="str">
        <f>"401619641"</f>
        <v>401619641</v>
      </c>
      <c r="S128" s="1" t="str">
        <f t="shared" si="30"/>
        <v/>
      </c>
      <c r="U128" s="1" t="str">
        <f t="shared" ref="U128:U129" si="34">""</f>
        <v/>
      </c>
      <c r="V128" s="1" t="s">
        <v>1157</v>
      </c>
      <c r="W128" s="1" t="s">
        <v>51</v>
      </c>
      <c r="Y128" s="1" t="s">
        <v>52</v>
      </c>
      <c r="Z128" s="1" t="s">
        <v>1158</v>
      </c>
      <c r="AB128" s="1" t="s">
        <v>54</v>
      </c>
      <c r="AC128" s="1" t="s">
        <v>55</v>
      </c>
      <c r="AD128" s="1">
        <v>3.0</v>
      </c>
      <c r="AE128" s="1" t="s">
        <v>56</v>
      </c>
      <c r="AF128" s="1">
        <v>3.0</v>
      </c>
      <c r="AG128" s="1" t="s">
        <v>1151</v>
      </c>
      <c r="AH128" s="2">
        <v>43282.0</v>
      </c>
      <c r="AI128" s="1" t="s">
        <v>490</v>
      </c>
      <c r="AJ128" s="1">
        <v>32.0</v>
      </c>
      <c r="AK128" s="1">
        <v>33.0</v>
      </c>
      <c r="AL128" s="1">
        <v>2.0</v>
      </c>
      <c r="AM128" s="1" t="s">
        <v>58</v>
      </c>
    </row>
    <row r="129" ht="15.75" customHeight="1">
      <c r="A129" s="1" t="s">
        <v>1159</v>
      </c>
      <c r="B129" s="1" t="s">
        <v>41</v>
      </c>
      <c r="C129" s="1" t="s">
        <v>1160</v>
      </c>
      <c r="D129" s="2">
        <v>43282.0</v>
      </c>
      <c r="E129" s="1" t="s">
        <v>1161</v>
      </c>
      <c r="F129" s="1" t="s">
        <v>1162</v>
      </c>
      <c r="G129" s="1" t="s">
        <v>1163</v>
      </c>
      <c r="H129" s="1" t="s">
        <v>1164</v>
      </c>
      <c r="L129" s="1" t="s">
        <v>1165</v>
      </c>
      <c r="M129" s="1" t="s">
        <v>1166</v>
      </c>
      <c r="N129" s="1">
        <v>3146.0</v>
      </c>
      <c r="O129" s="1" t="s">
        <v>49</v>
      </c>
      <c r="P129" s="1">
        <v>4.07118477E8</v>
      </c>
      <c r="Q129" s="1" t="str">
        <f>"0407118477"</f>
        <v>0407118477</v>
      </c>
      <c r="S129" s="1" t="str">
        <f t="shared" si="30"/>
        <v/>
      </c>
      <c r="U129" s="1" t="str">
        <f t="shared" si="34"/>
        <v/>
      </c>
      <c r="V129" s="1" t="s">
        <v>1167</v>
      </c>
      <c r="W129" s="1" t="s">
        <v>70</v>
      </c>
      <c r="Y129" s="1" t="s">
        <v>1168</v>
      </c>
      <c r="Z129" s="1" t="s">
        <v>1169</v>
      </c>
      <c r="AB129" s="1" t="s">
        <v>54</v>
      </c>
      <c r="AC129" s="1" t="s">
        <v>55</v>
      </c>
      <c r="AD129" s="1">
        <v>3.0</v>
      </c>
      <c r="AE129" s="1" t="s">
        <v>56</v>
      </c>
      <c r="AF129" s="1">
        <v>3.0</v>
      </c>
      <c r="AG129" s="1" t="s">
        <v>1160</v>
      </c>
      <c r="AH129" s="2">
        <v>43282.0</v>
      </c>
      <c r="AI129" s="1" t="s">
        <v>639</v>
      </c>
      <c r="AJ129" s="1">
        <v>4.0</v>
      </c>
      <c r="AK129" s="1">
        <v>5.0</v>
      </c>
      <c r="AL129" s="1">
        <v>2.0</v>
      </c>
      <c r="AM129" s="1" t="s">
        <v>58</v>
      </c>
    </row>
    <row r="130" ht="15.75" customHeight="1">
      <c r="A130" s="1" t="s">
        <v>1170</v>
      </c>
      <c r="B130" s="1" t="s">
        <v>41</v>
      </c>
      <c r="C130" s="1" t="s">
        <v>1171</v>
      </c>
      <c r="D130" s="2">
        <v>43282.0</v>
      </c>
      <c r="E130" s="1" t="s">
        <v>1172</v>
      </c>
      <c r="F130" s="1" t="s">
        <v>1173</v>
      </c>
      <c r="G130" s="1" t="s">
        <v>1174</v>
      </c>
      <c r="H130" s="1" t="s">
        <v>1175</v>
      </c>
      <c r="L130" s="1" t="s">
        <v>1176</v>
      </c>
      <c r="M130" s="1" t="s">
        <v>1177</v>
      </c>
      <c r="N130" s="1">
        <v>3199.0</v>
      </c>
      <c r="O130" s="1" t="s">
        <v>49</v>
      </c>
      <c r="P130" s="1">
        <v>6.140701779E9</v>
      </c>
      <c r="Q130" s="1" t="str">
        <f>"6140701779"</f>
        <v>6140701779</v>
      </c>
      <c r="R130" s="1">
        <v>7.0</v>
      </c>
      <c r="S130" s="1" t="str">
        <f>"7"</f>
        <v>7</v>
      </c>
      <c r="T130" s="1">
        <v>6.1407017797E10</v>
      </c>
      <c r="U130" s="1" t="str">
        <f>"61407017797"</f>
        <v>61407017797</v>
      </c>
      <c r="V130" s="1" t="s">
        <v>1178</v>
      </c>
      <c r="W130" s="1" t="s">
        <v>51</v>
      </c>
      <c r="Y130" s="1" t="s">
        <v>52</v>
      </c>
      <c r="Z130" s="1" t="s">
        <v>1179</v>
      </c>
      <c r="AB130" s="1" t="s">
        <v>54</v>
      </c>
      <c r="AC130" s="1" t="s">
        <v>55</v>
      </c>
      <c r="AD130" s="1">
        <v>3.0</v>
      </c>
      <c r="AE130" s="1" t="s">
        <v>56</v>
      </c>
      <c r="AF130" s="1">
        <v>3.0</v>
      </c>
      <c r="AG130" s="1" t="s">
        <v>1171</v>
      </c>
      <c r="AH130" s="2">
        <v>43282.0</v>
      </c>
      <c r="AI130" s="1" t="s">
        <v>1003</v>
      </c>
      <c r="AJ130" s="1">
        <v>10.0</v>
      </c>
      <c r="AK130" s="1">
        <v>11.0</v>
      </c>
      <c r="AL130" s="1">
        <v>2.0</v>
      </c>
      <c r="AM130" s="1" t="s">
        <v>58</v>
      </c>
    </row>
    <row r="131" ht="15.75" customHeight="1">
      <c r="A131" s="1" t="s">
        <v>1180</v>
      </c>
      <c r="B131" s="1" t="s">
        <v>41</v>
      </c>
      <c r="C131" s="1" t="s">
        <v>1181</v>
      </c>
      <c r="D131" s="2">
        <v>43282.0</v>
      </c>
      <c r="E131" s="1" t="s">
        <v>1182</v>
      </c>
      <c r="F131" s="1" t="s">
        <v>1183</v>
      </c>
      <c r="G131" s="1" t="s">
        <v>1184</v>
      </c>
      <c r="H131" s="1" t="s">
        <v>1185</v>
      </c>
      <c r="L131" s="1" t="s">
        <v>1186</v>
      </c>
      <c r="M131" s="1" t="s">
        <v>1187</v>
      </c>
      <c r="N131" s="1">
        <v>3171.0</v>
      </c>
      <c r="O131" s="1" t="s">
        <v>49</v>
      </c>
      <c r="P131" s="1">
        <v>4.01808883E8</v>
      </c>
      <c r="Q131" s="1" t="str">
        <f>"401808883"</f>
        <v>401808883</v>
      </c>
      <c r="S131" s="1" t="str">
        <f t="shared" ref="S131:S158" si="35">""</f>
        <v/>
      </c>
      <c r="U131" s="1" t="str">
        <f>""</f>
        <v/>
      </c>
      <c r="V131" s="1" t="s">
        <v>1188</v>
      </c>
      <c r="W131" s="1" t="s">
        <v>70</v>
      </c>
      <c r="Y131" s="1" t="s">
        <v>52</v>
      </c>
      <c r="Z131" s="1" t="s">
        <v>1189</v>
      </c>
      <c r="AB131" s="1" t="s">
        <v>54</v>
      </c>
      <c r="AC131" s="1" t="s">
        <v>55</v>
      </c>
      <c r="AD131" s="1">
        <v>4.0</v>
      </c>
      <c r="AE131" s="1" t="s">
        <v>180</v>
      </c>
      <c r="AF131" s="1">
        <v>4.0</v>
      </c>
      <c r="AG131" s="1" t="s">
        <v>1181</v>
      </c>
      <c r="AH131" s="2">
        <v>43282.0</v>
      </c>
      <c r="AI131" s="1" t="s">
        <v>85</v>
      </c>
      <c r="AJ131" s="1">
        <v>24.0</v>
      </c>
      <c r="AK131" s="1">
        <v>25.0</v>
      </c>
      <c r="AL131" s="1">
        <v>2.0</v>
      </c>
      <c r="AM131" s="1" t="s">
        <v>58</v>
      </c>
    </row>
    <row r="132" ht="15.75" customHeight="1">
      <c r="A132" s="1" t="s">
        <v>1190</v>
      </c>
      <c r="B132" s="1" t="s">
        <v>41</v>
      </c>
      <c r="C132" s="1" t="s">
        <v>1191</v>
      </c>
      <c r="D132" s="2">
        <v>43282.0</v>
      </c>
      <c r="E132" s="1" t="s">
        <v>1192</v>
      </c>
      <c r="F132" s="1" t="s">
        <v>1193</v>
      </c>
      <c r="G132" s="1" t="s">
        <v>1194</v>
      </c>
      <c r="H132" s="1" t="s">
        <v>46</v>
      </c>
      <c r="L132" s="1" t="s">
        <v>1195</v>
      </c>
      <c r="M132" s="1" t="s">
        <v>156</v>
      </c>
      <c r="N132" s="1">
        <v>3000.0</v>
      </c>
      <c r="O132" s="1" t="s">
        <v>49</v>
      </c>
      <c r="P132" s="1">
        <v>4.51228439E8</v>
      </c>
      <c r="Q132" s="1" t="str">
        <f>"451228439"</f>
        <v>451228439</v>
      </c>
      <c r="S132" s="1" t="str">
        <f t="shared" si="35"/>
        <v/>
      </c>
      <c r="T132" s="1">
        <v>4.51228439E8</v>
      </c>
      <c r="U132" s="1" t="str">
        <f>"0451228439"</f>
        <v>0451228439</v>
      </c>
      <c r="V132" s="1" t="s">
        <v>1196</v>
      </c>
      <c r="W132" s="1" t="s">
        <v>51</v>
      </c>
      <c r="Y132" s="1" t="s">
        <v>115</v>
      </c>
      <c r="Z132" s="1" t="s">
        <v>1197</v>
      </c>
      <c r="AB132" s="1" t="s">
        <v>54</v>
      </c>
      <c r="AC132" s="1" t="s">
        <v>83</v>
      </c>
      <c r="AD132" s="1">
        <v>3.0</v>
      </c>
      <c r="AE132" s="1" t="s">
        <v>56</v>
      </c>
      <c r="AF132" s="1">
        <v>3.0</v>
      </c>
      <c r="AG132" s="1" t="s">
        <v>1191</v>
      </c>
      <c r="AH132" s="2">
        <v>43282.0</v>
      </c>
      <c r="AI132" s="1" t="s">
        <v>670</v>
      </c>
      <c r="AJ132" s="1">
        <v>14.0</v>
      </c>
      <c r="AK132" s="1">
        <v>16.0</v>
      </c>
      <c r="AL132" s="1">
        <v>3.0</v>
      </c>
      <c r="AM132" s="1" t="s">
        <v>58</v>
      </c>
    </row>
    <row r="133" ht="15.75" customHeight="1">
      <c r="A133" s="1" t="s">
        <v>1198</v>
      </c>
      <c r="B133" s="1" t="s">
        <v>41</v>
      </c>
      <c r="C133" s="1" t="s">
        <v>1199</v>
      </c>
      <c r="D133" s="2">
        <v>43282.0</v>
      </c>
      <c r="E133" s="1" t="s">
        <v>1200</v>
      </c>
      <c r="F133" s="1" t="s">
        <v>1201</v>
      </c>
      <c r="G133" s="1" t="s">
        <v>1202</v>
      </c>
      <c r="H133" s="1" t="s">
        <v>1203</v>
      </c>
      <c r="L133" s="1" t="s">
        <v>1204</v>
      </c>
      <c r="M133" s="1" t="s">
        <v>1205</v>
      </c>
      <c r="N133" s="1">
        <v>3207.0</v>
      </c>
      <c r="O133" s="1" t="s">
        <v>49</v>
      </c>
      <c r="P133" s="1">
        <v>4.11214066E8</v>
      </c>
      <c r="Q133" s="1" t="str">
        <f>"411214066"</f>
        <v>411214066</v>
      </c>
      <c r="S133" s="1" t="str">
        <f t="shared" si="35"/>
        <v/>
      </c>
      <c r="T133" s="1">
        <v>4.11214066E8</v>
      </c>
      <c r="U133" s="1" t="str">
        <f>"0411214066"</f>
        <v>0411214066</v>
      </c>
      <c r="V133" s="1" t="s">
        <v>1206</v>
      </c>
      <c r="W133" s="1" t="s">
        <v>51</v>
      </c>
      <c r="Y133" s="1" t="s">
        <v>115</v>
      </c>
      <c r="Z133" s="1" t="s">
        <v>1207</v>
      </c>
      <c r="AB133" s="1" t="s">
        <v>54</v>
      </c>
      <c r="AC133" s="1" t="s">
        <v>55</v>
      </c>
      <c r="AD133" s="1">
        <v>3.0</v>
      </c>
      <c r="AE133" s="1" t="s">
        <v>56</v>
      </c>
      <c r="AF133" s="1">
        <v>3.0</v>
      </c>
      <c r="AG133" s="1" t="s">
        <v>1199</v>
      </c>
      <c r="AH133" s="2">
        <v>43282.0</v>
      </c>
      <c r="AI133" s="1" t="s">
        <v>670</v>
      </c>
      <c r="AJ133" s="1">
        <v>10.0</v>
      </c>
      <c r="AK133" s="1">
        <v>11.0</v>
      </c>
      <c r="AL133" s="1">
        <v>2.0</v>
      </c>
      <c r="AM133" s="1" t="s">
        <v>58</v>
      </c>
    </row>
    <row r="134" ht="15.75" customHeight="1">
      <c r="A134" s="1" t="s">
        <v>1208</v>
      </c>
      <c r="B134" s="1" t="s">
        <v>41</v>
      </c>
      <c r="C134" s="1" t="s">
        <v>1209</v>
      </c>
      <c r="D134" s="2">
        <v>43283.0</v>
      </c>
      <c r="E134" s="1" t="s">
        <v>1210</v>
      </c>
      <c r="F134" s="1" t="s">
        <v>1211</v>
      </c>
      <c r="G134" s="1" t="s">
        <v>1212</v>
      </c>
      <c r="H134" s="1" t="s">
        <v>1213</v>
      </c>
      <c r="L134" s="1" t="s">
        <v>1214</v>
      </c>
      <c r="M134" s="1" t="s">
        <v>388</v>
      </c>
      <c r="N134" s="1">
        <v>3111.0</v>
      </c>
      <c r="O134" s="1" t="s">
        <v>49</v>
      </c>
      <c r="P134" s="1">
        <v>4.24052677E8</v>
      </c>
      <c r="Q134" s="1" t="str">
        <f>"424052677"</f>
        <v>424052677</v>
      </c>
      <c r="S134" s="1" t="str">
        <f t="shared" si="35"/>
        <v/>
      </c>
      <c r="U134" s="1" t="str">
        <f>""</f>
        <v/>
      </c>
      <c r="V134" s="1" t="s">
        <v>1215</v>
      </c>
      <c r="W134" s="1" t="s">
        <v>70</v>
      </c>
      <c r="X134" s="1" t="s">
        <v>710</v>
      </c>
      <c r="Y134" s="1" t="s">
        <v>52</v>
      </c>
      <c r="Z134" s="1" t="s">
        <v>1216</v>
      </c>
      <c r="AB134" s="1" t="s">
        <v>54</v>
      </c>
      <c r="AC134" s="1" t="s">
        <v>55</v>
      </c>
      <c r="AD134" s="1">
        <v>4.0</v>
      </c>
      <c r="AE134" s="1" t="s">
        <v>180</v>
      </c>
      <c r="AF134" s="1">
        <v>4.0</v>
      </c>
      <c r="AG134" s="1" t="s">
        <v>1209</v>
      </c>
      <c r="AH134" s="2">
        <v>43283.0</v>
      </c>
      <c r="AI134" s="1" t="s">
        <v>85</v>
      </c>
      <c r="AJ134" s="1">
        <v>12.0</v>
      </c>
      <c r="AK134" s="1">
        <v>13.0</v>
      </c>
      <c r="AL134" s="1">
        <v>2.0</v>
      </c>
      <c r="AM134" s="1" t="s">
        <v>58</v>
      </c>
    </row>
    <row r="135" ht="15.75" customHeight="1">
      <c r="A135" s="1" t="s">
        <v>1217</v>
      </c>
      <c r="B135" s="1" t="s">
        <v>41</v>
      </c>
      <c r="C135" s="1" t="s">
        <v>977</v>
      </c>
      <c r="D135" s="2">
        <v>43283.0</v>
      </c>
      <c r="E135" s="1" t="s">
        <v>1218</v>
      </c>
      <c r="F135" s="1" t="s">
        <v>1219</v>
      </c>
      <c r="G135" s="1" t="s">
        <v>1220</v>
      </c>
      <c r="H135" s="1" t="s">
        <v>753</v>
      </c>
      <c r="L135" s="1" t="s">
        <v>1221</v>
      </c>
      <c r="M135" s="1" t="s">
        <v>680</v>
      </c>
      <c r="N135" s="1">
        <v>3032.0</v>
      </c>
      <c r="O135" s="1" t="s">
        <v>49</v>
      </c>
      <c r="P135" s="1">
        <v>4.11331585E8</v>
      </c>
      <c r="Q135" s="1" t="str">
        <f>"411331585"</f>
        <v>411331585</v>
      </c>
      <c r="S135" s="1" t="str">
        <f t="shared" si="35"/>
        <v/>
      </c>
      <c r="T135" s="1">
        <v>4.50122355E8</v>
      </c>
      <c r="U135" s="1" t="str">
        <f>"0450122355"</f>
        <v>0450122355</v>
      </c>
      <c r="V135" s="1" t="s">
        <v>1222</v>
      </c>
      <c r="W135" s="1" t="s">
        <v>51</v>
      </c>
      <c r="Y135" s="1" t="s">
        <v>115</v>
      </c>
      <c r="Z135" s="1" t="s">
        <v>1223</v>
      </c>
      <c r="AB135" s="1" t="s">
        <v>54</v>
      </c>
      <c r="AC135" s="1" t="s">
        <v>83</v>
      </c>
      <c r="AD135" s="1">
        <v>3.0</v>
      </c>
      <c r="AE135" s="1" t="s">
        <v>56</v>
      </c>
      <c r="AF135" s="1">
        <v>3.0</v>
      </c>
      <c r="AG135" s="1" t="s">
        <v>977</v>
      </c>
      <c r="AH135" s="2">
        <v>43283.0</v>
      </c>
      <c r="AI135" s="1" t="s">
        <v>670</v>
      </c>
      <c r="AJ135" s="1">
        <v>34.0</v>
      </c>
      <c r="AK135" s="1">
        <v>35.0</v>
      </c>
      <c r="AL135" s="1">
        <v>2.0</v>
      </c>
      <c r="AM135" s="1" t="s">
        <v>58</v>
      </c>
    </row>
    <row r="136" ht="15.75" customHeight="1">
      <c r="A136" s="1" t="s">
        <v>1224</v>
      </c>
      <c r="B136" s="1" t="s">
        <v>41</v>
      </c>
      <c r="C136" s="1" t="s">
        <v>1225</v>
      </c>
      <c r="D136" s="2">
        <v>43283.0</v>
      </c>
      <c r="E136" s="1" t="s">
        <v>1226</v>
      </c>
      <c r="F136" s="1" t="s">
        <v>1227</v>
      </c>
      <c r="G136" s="1" t="s">
        <v>1228</v>
      </c>
      <c r="H136" s="1" t="s">
        <v>1229</v>
      </c>
      <c r="L136" s="1" t="s">
        <v>1230</v>
      </c>
      <c r="M136" s="1" t="s">
        <v>1231</v>
      </c>
      <c r="N136" s="1">
        <v>3082.0</v>
      </c>
      <c r="O136" s="1" t="s">
        <v>49</v>
      </c>
      <c r="P136" s="1">
        <v>4.34168017E8</v>
      </c>
      <c r="Q136" s="1" t="str">
        <f>"434168017"</f>
        <v>434168017</v>
      </c>
      <c r="S136" s="1" t="str">
        <f t="shared" si="35"/>
        <v/>
      </c>
      <c r="T136" s="1">
        <v>4.34168017E8</v>
      </c>
      <c r="U136" s="1" t="str">
        <f>"0434168017"</f>
        <v>0434168017</v>
      </c>
      <c r="V136" s="1" t="s">
        <v>1232</v>
      </c>
      <c r="W136" s="1" t="s">
        <v>51</v>
      </c>
      <c r="X136" s="1" t="s">
        <v>230</v>
      </c>
      <c r="Y136" s="1" t="s">
        <v>115</v>
      </c>
      <c r="Z136" s="1" t="s">
        <v>1233</v>
      </c>
      <c r="AB136" s="1" t="s">
        <v>54</v>
      </c>
      <c r="AC136" s="1" t="s">
        <v>55</v>
      </c>
      <c r="AD136" s="1">
        <v>4.0</v>
      </c>
      <c r="AE136" s="1" t="s">
        <v>180</v>
      </c>
      <c r="AF136" s="1">
        <v>4.0</v>
      </c>
      <c r="AG136" s="1" t="s">
        <v>1225</v>
      </c>
      <c r="AH136" s="2">
        <v>43283.0</v>
      </c>
      <c r="AI136" s="1" t="s">
        <v>1024</v>
      </c>
      <c r="AJ136" s="1">
        <v>22.0</v>
      </c>
      <c r="AK136" s="1">
        <v>25.0</v>
      </c>
      <c r="AL136" s="1">
        <v>4.0</v>
      </c>
      <c r="AM136" s="1" t="s">
        <v>58</v>
      </c>
    </row>
    <row r="137" ht="15.75" customHeight="1">
      <c r="A137" s="1" t="s">
        <v>1234</v>
      </c>
      <c r="B137" s="1" t="s">
        <v>41</v>
      </c>
      <c r="C137" s="1" t="s">
        <v>1235</v>
      </c>
      <c r="D137" s="2">
        <v>43283.0</v>
      </c>
      <c r="E137" s="1" t="s">
        <v>1236</v>
      </c>
      <c r="F137" s="1" t="s">
        <v>1237</v>
      </c>
      <c r="G137" s="1" t="s">
        <v>1238</v>
      </c>
      <c r="H137" s="1" t="s">
        <v>1239</v>
      </c>
      <c r="L137" s="1" t="s">
        <v>1240</v>
      </c>
      <c r="M137" s="1" t="s">
        <v>156</v>
      </c>
      <c r="N137" s="1">
        <v>3079.0</v>
      </c>
      <c r="O137" s="1" t="s">
        <v>49</v>
      </c>
      <c r="P137" s="1">
        <v>4.05089036E8</v>
      </c>
      <c r="Q137" s="1" t="str">
        <f>"405089036"</f>
        <v>405089036</v>
      </c>
      <c r="S137" s="1" t="str">
        <f t="shared" si="35"/>
        <v/>
      </c>
      <c r="U137" s="1" t="str">
        <f t="shared" ref="U137:U138" si="36">""</f>
        <v/>
      </c>
      <c r="V137" s="1" t="s">
        <v>1241</v>
      </c>
      <c r="W137" s="1" t="s">
        <v>51</v>
      </c>
      <c r="Y137" s="1" t="s">
        <v>52</v>
      </c>
      <c r="Z137" s="1" t="s">
        <v>1242</v>
      </c>
      <c r="AB137" s="1" t="s">
        <v>54</v>
      </c>
      <c r="AC137" s="1" t="s">
        <v>55</v>
      </c>
      <c r="AD137" s="1">
        <v>3.0</v>
      </c>
      <c r="AE137" s="1" t="s">
        <v>56</v>
      </c>
      <c r="AF137" s="1">
        <v>3.0</v>
      </c>
      <c r="AG137" s="1" t="s">
        <v>1235</v>
      </c>
      <c r="AH137" s="2">
        <v>43283.0</v>
      </c>
      <c r="AI137" s="1" t="s">
        <v>440</v>
      </c>
      <c r="AJ137" s="1">
        <v>2.0</v>
      </c>
      <c r="AK137" s="1">
        <v>2.0</v>
      </c>
      <c r="AL137" s="1">
        <v>1.0</v>
      </c>
      <c r="AM137" s="1" t="s">
        <v>58</v>
      </c>
    </row>
    <row r="138" ht="15.75" customHeight="1">
      <c r="A138" s="1" t="s">
        <v>1243</v>
      </c>
      <c r="B138" s="1" t="s">
        <v>41</v>
      </c>
      <c r="C138" s="1" t="s">
        <v>1244</v>
      </c>
      <c r="D138" s="2">
        <v>43283.0</v>
      </c>
      <c r="E138" s="1" t="s">
        <v>1245</v>
      </c>
      <c r="F138" s="1" t="s">
        <v>1246</v>
      </c>
      <c r="G138" s="1" t="s">
        <v>1247</v>
      </c>
      <c r="H138" s="1" t="s">
        <v>1248</v>
      </c>
      <c r="L138" s="1" t="s">
        <v>1249</v>
      </c>
      <c r="M138" s="1" t="s">
        <v>1250</v>
      </c>
      <c r="N138" s="1">
        <v>3008.0</v>
      </c>
      <c r="O138" s="1" t="s">
        <v>49</v>
      </c>
      <c r="P138" s="1">
        <v>4.22806923E8</v>
      </c>
      <c r="Q138" s="1" t="str">
        <f>"422806923"</f>
        <v>422806923</v>
      </c>
      <c r="S138" s="1" t="str">
        <f t="shared" si="35"/>
        <v/>
      </c>
      <c r="U138" s="1" t="str">
        <f t="shared" si="36"/>
        <v/>
      </c>
      <c r="V138" s="1" t="s">
        <v>1251</v>
      </c>
      <c r="W138" s="1" t="s">
        <v>70</v>
      </c>
      <c r="X138" s="1" t="s">
        <v>230</v>
      </c>
      <c r="Y138" s="1" t="s">
        <v>115</v>
      </c>
      <c r="Z138" s="1" t="s">
        <v>1252</v>
      </c>
      <c r="AB138" s="1" t="s">
        <v>54</v>
      </c>
      <c r="AC138" s="1" t="s">
        <v>55</v>
      </c>
      <c r="AD138" s="1">
        <v>3.0</v>
      </c>
      <c r="AE138" s="1" t="s">
        <v>56</v>
      </c>
      <c r="AF138" s="1">
        <v>3.0</v>
      </c>
      <c r="AG138" s="1" t="s">
        <v>1244</v>
      </c>
      <c r="AH138" s="2">
        <v>43283.0</v>
      </c>
      <c r="AI138" s="1" t="s">
        <v>96</v>
      </c>
      <c r="AJ138" s="1">
        <v>3.0</v>
      </c>
      <c r="AK138" s="1">
        <v>4.0</v>
      </c>
      <c r="AL138" s="1">
        <v>2.0</v>
      </c>
      <c r="AM138" s="1" t="s">
        <v>58</v>
      </c>
    </row>
    <row r="139" ht="15.75" customHeight="1">
      <c r="A139" s="1" t="s">
        <v>1253</v>
      </c>
      <c r="B139" s="1" t="s">
        <v>41</v>
      </c>
      <c r="C139" s="1" t="s">
        <v>523</v>
      </c>
      <c r="D139" s="2">
        <v>43283.0</v>
      </c>
      <c r="E139" s="1" t="s">
        <v>1254</v>
      </c>
      <c r="F139" s="1" t="s">
        <v>1255</v>
      </c>
      <c r="G139" s="1" t="s">
        <v>1256</v>
      </c>
      <c r="H139" s="1" t="s">
        <v>1257</v>
      </c>
      <c r="L139" s="1" t="s">
        <v>1258</v>
      </c>
      <c r="M139" s="1" t="s">
        <v>1259</v>
      </c>
      <c r="N139" s="1">
        <v>3074.0</v>
      </c>
      <c r="O139" s="1" t="s">
        <v>49</v>
      </c>
      <c r="P139" s="1">
        <v>4.24144714E8</v>
      </c>
      <c r="Q139" s="1" t="str">
        <f>"424144714"</f>
        <v>424144714</v>
      </c>
      <c r="S139" s="1" t="str">
        <f t="shared" si="35"/>
        <v/>
      </c>
      <c r="T139" s="1">
        <v>4.24144714E8</v>
      </c>
      <c r="U139" s="1" t="str">
        <f>"0424144714"</f>
        <v>0424144714</v>
      </c>
      <c r="V139" s="1" t="s">
        <v>1260</v>
      </c>
      <c r="W139" s="1" t="s">
        <v>51</v>
      </c>
      <c r="Y139" s="1" t="s">
        <v>115</v>
      </c>
      <c r="Z139" s="1" t="s">
        <v>1261</v>
      </c>
      <c r="AB139" s="1" t="s">
        <v>54</v>
      </c>
      <c r="AC139" s="1" t="s">
        <v>55</v>
      </c>
      <c r="AD139" s="1">
        <v>3.0</v>
      </c>
      <c r="AE139" s="1" t="s">
        <v>56</v>
      </c>
      <c r="AF139" s="1">
        <v>3.0</v>
      </c>
      <c r="AG139" s="1" t="s">
        <v>523</v>
      </c>
      <c r="AH139" s="2">
        <v>43283.0</v>
      </c>
      <c r="AI139" s="1" t="s">
        <v>490</v>
      </c>
      <c r="AJ139" s="1">
        <v>9.0</v>
      </c>
      <c r="AK139" s="1">
        <v>10.0</v>
      </c>
      <c r="AL139" s="1">
        <v>2.0</v>
      </c>
      <c r="AM139" s="1" t="s">
        <v>58</v>
      </c>
    </row>
    <row r="140" ht="15.75" customHeight="1">
      <c r="A140" s="1" t="s">
        <v>1262</v>
      </c>
      <c r="B140" s="1" t="s">
        <v>41</v>
      </c>
      <c r="C140" s="1" t="s">
        <v>1263</v>
      </c>
      <c r="D140" s="2">
        <v>43284.0</v>
      </c>
      <c r="E140" s="1" t="s">
        <v>1264</v>
      </c>
      <c r="F140" s="1" t="s">
        <v>1265</v>
      </c>
      <c r="G140" s="1" t="s">
        <v>1266</v>
      </c>
      <c r="H140" s="1" t="s">
        <v>1267</v>
      </c>
      <c r="L140" s="1" t="s">
        <v>1268</v>
      </c>
      <c r="M140" s="1" t="s">
        <v>1269</v>
      </c>
      <c r="N140" s="1">
        <v>3750.0</v>
      </c>
      <c r="O140" s="1" t="s">
        <v>49</v>
      </c>
      <c r="P140" s="1">
        <v>4.48207057E8</v>
      </c>
      <c r="Q140" s="1" t="str">
        <f>"448207057"</f>
        <v>448207057</v>
      </c>
      <c r="S140" s="1" t="str">
        <f t="shared" si="35"/>
        <v/>
      </c>
      <c r="T140" s="1">
        <v>4.48207057E8</v>
      </c>
      <c r="U140" s="1" t="str">
        <f>"0448207057"</f>
        <v>0448207057</v>
      </c>
      <c r="V140" s="1" t="s">
        <v>1270</v>
      </c>
      <c r="W140" s="1" t="s">
        <v>51</v>
      </c>
      <c r="Y140" s="1" t="s">
        <v>115</v>
      </c>
      <c r="Z140" s="1" t="s">
        <v>1271</v>
      </c>
      <c r="AB140" s="1" t="s">
        <v>54</v>
      </c>
      <c r="AC140" s="1" t="s">
        <v>55</v>
      </c>
      <c r="AD140" s="1">
        <v>3.0</v>
      </c>
      <c r="AE140" s="1" t="s">
        <v>56</v>
      </c>
      <c r="AF140" s="1">
        <v>3.0</v>
      </c>
      <c r="AG140" s="1" t="s">
        <v>1263</v>
      </c>
      <c r="AH140" s="2">
        <v>43284.0</v>
      </c>
      <c r="AI140" s="1" t="s">
        <v>1003</v>
      </c>
      <c r="AJ140" s="1">
        <v>28.0</v>
      </c>
      <c r="AK140" s="1">
        <v>29.0</v>
      </c>
      <c r="AL140" s="1">
        <v>2.0</v>
      </c>
      <c r="AM140" s="1" t="s">
        <v>58</v>
      </c>
    </row>
    <row r="141" ht="15.75" customHeight="1">
      <c r="A141" s="1" t="s">
        <v>1272</v>
      </c>
      <c r="B141" s="1" t="s">
        <v>41</v>
      </c>
      <c r="C141" s="1" t="s">
        <v>1273</v>
      </c>
      <c r="D141" s="2">
        <v>43284.0</v>
      </c>
      <c r="E141" s="1" t="s">
        <v>1274</v>
      </c>
      <c r="F141" s="1" t="s">
        <v>1275</v>
      </c>
      <c r="G141" s="1" t="s">
        <v>1276</v>
      </c>
      <c r="H141" s="1" t="s">
        <v>1277</v>
      </c>
      <c r="L141" s="1" t="s">
        <v>1278</v>
      </c>
      <c r="M141" s="1" t="s">
        <v>156</v>
      </c>
      <c r="N141" s="1">
        <v>3168.0</v>
      </c>
      <c r="O141" s="1" t="s">
        <v>49</v>
      </c>
      <c r="P141" s="1">
        <v>4.24460952E8</v>
      </c>
      <c r="Q141" s="1" t="str">
        <f>"424460952"</f>
        <v>424460952</v>
      </c>
      <c r="S141" s="1" t="str">
        <f t="shared" si="35"/>
        <v/>
      </c>
      <c r="T141" s="1">
        <v>4.24460952E8</v>
      </c>
      <c r="U141" s="1" t="str">
        <f>"0424460952"</f>
        <v>0424460952</v>
      </c>
      <c r="V141" s="1" t="s">
        <v>1279</v>
      </c>
      <c r="W141" s="1" t="s">
        <v>51</v>
      </c>
      <c r="Y141" s="1" t="s">
        <v>52</v>
      </c>
      <c r="Z141" s="1" t="s">
        <v>1280</v>
      </c>
      <c r="AB141" s="1" t="s">
        <v>54</v>
      </c>
      <c r="AC141" s="1" t="s">
        <v>55</v>
      </c>
      <c r="AD141" s="1">
        <v>3.0</v>
      </c>
      <c r="AE141" s="1" t="s">
        <v>56</v>
      </c>
      <c r="AF141" s="1">
        <v>3.0</v>
      </c>
      <c r="AG141" s="1" t="s">
        <v>1273</v>
      </c>
      <c r="AH141" s="2">
        <v>43284.0</v>
      </c>
      <c r="AI141" s="1" t="s">
        <v>1149</v>
      </c>
      <c r="AJ141" s="1">
        <v>28.0</v>
      </c>
      <c r="AK141" s="1">
        <v>30.0</v>
      </c>
      <c r="AL141" s="1">
        <v>3.0</v>
      </c>
      <c r="AM141" s="1" t="s">
        <v>58</v>
      </c>
    </row>
    <row r="142" ht="15.75" customHeight="1">
      <c r="A142" s="1" t="s">
        <v>1281</v>
      </c>
      <c r="B142" s="1" t="s">
        <v>41</v>
      </c>
      <c r="C142" s="1" t="s">
        <v>1282</v>
      </c>
      <c r="D142" s="2">
        <v>43284.0</v>
      </c>
      <c r="E142" s="1" t="s">
        <v>1283</v>
      </c>
      <c r="F142" s="1" t="s">
        <v>1284</v>
      </c>
      <c r="G142" s="1" t="s">
        <v>1285</v>
      </c>
      <c r="H142" s="1" t="s">
        <v>1286</v>
      </c>
      <c r="L142" s="1" t="s">
        <v>1287</v>
      </c>
      <c r="M142" s="1" t="s">
        <v>1068</v>
      </c>
      <c r="N142" s="1">
        <v>3149.0</v>
      </c>
      <c r="O142" s="1" t="s">
        <v>49</v>
      </c>
      <c r="P142" s="1">
        <v>4.81133366E8</v>
      </c>
      <c r="Q142" s="1" t="str">
        <f>"481133366"</f>
        <v>481133366</v>
      </c>
      <c r="S142" s="1" t="str">
        <f t="shared" si="35"/>
        <v/>
      </c>
      <c r="U142" s="1" t="str">
        <f t="shared" ref="U142:U144" si="37">""</f>
        <v/>
      </c>
      <c r="V142" s="1" t="s">
        <v>1288</v>
      </c>
      <c r="W142" s="1" t="s">
        <v>51</v>
      </c>
      <c r="Y142" s="1" t="s">
        <v>115</v>
      </c>
      <c r="Z142" s="1" t="s">
        <v>1289</v>
      </c>
      <c r="AB142" s="1" t="s">
        <v>54</v>
      </c>
      <c r="AC142" s="1" t="s">
        <v>55</v>
      </c>
      <c r="AD142" s="1">
        <v>3.0</v>
      </c>
      <c r="AE142" s="1" t="s">
        <v>56</v>
      </c>
      <c r="AF142" s="1">
        <v>3.0</v>
      </c>
      <c r="AG142" s="1" t="s">
        <v>1282</v>
      </c>
      <c r="AH142" s="2">
        <v>43284.0</v>
      </c>
      <c r="AI142" s="1" t="s">
        <v>490</v>
      </c>
      <c r="AJ142" s="1">
        <v>6.0</v>
      </c>
      <c r="AK142" s="1">
        <v>8.0</v>
      </c>
      <c r="AL142" s="1">
        <v>3.0</v>
      </c>
      <c r="AM142" s="1" t="s">
        <v>58</v>
      </c>
    </row>
    <row r="143" ht="15.75" customHeight="1">
      <c r="A143" s="1" t="s">
        <v>1290</v>
      </c>
      <c r="B143" s="1" t="s">
        <v>41</v>
      </c>
      <c r="C143" s="1" t="s">
        <v>1291</v>
      </c>
      <c r="D143" s="2">
        <v>43284.0</v>
      </c>
      <c r="E143" s="1" t="s">
        <v>1292</v>
      </c>
      <c r="F143" s="1" t="s">
        <v>1293</v>
      </c>
      <c r="G143" s="1" t="s">
        <v>1294</v>
      </c>
      <c r="H143" s="1" t="s">
        <v>186</v>
      </c>
      <c r="L143" s="1" t="s">
        <v>1295</v>
      </c>
      <c r="M143" s="1" t="s">
        <v>156</v>
      </c>
      <c r="N143" s="1">
        <v>3186.0</v>
      </c>
      <c r="O143" s="1" t="s">
        <v>49</v>
      </c>
      <c r="P143" s="1">
        <v>4.51530909E8</v>
      </c>
      <c r="Q143" s="1" t="str">
        <f>"451530909"</f>
        <v>451530909</v>
      </c>
      <c r="S143" s="1" t="str">
        <f t="shared" si="35"/>
        <v/>
      </c>
      <c r="U143" s="1" t="str">
        <f t="shared" si="37"/>
        <v/>
      </c>
      <c r="V143" s="1" t="s">
        <v>1296</v>
      </c>
      <c r="W143" s="1" t="s">
        <v>70</v>
      </c>
      <c r="Y143" s="1" t="s">
        <v>52</v>
      </c>
      <c r="Z143" s="1" t="s">
        <v>1297</v>
      </c>
      <c r="AB143" s="1" t="s">
        <v>54</v>
      </c>
      <c r="AC143" s="1" t="s">
        <v>55</v>
      </c>
      <c r="AD143" s="1">
        <v>4.0</v>
      </c>
      <c r="AE143" s="1" t="s">
        <v>180</v>
      </c>
      <c r="AF143" s="1">
        <v>4.0</v>
      </c>
      <c r="AG143" s="1" t="s">
        <v>1291</v>
      </c>
      <c r="AH143" s="2">
        <v>43284.0</v>
      </c>
      <c r="AI143" s="1" t="s">
        <v>1298</v>
      </c>
      <c r="AJ143" s="1">
        <v>21.0</v>
      </c>
      <c r="AK143" s="1">
        <v>22.0</v>
      </c>
      <c r="AL143" s="1">
        <v>2.0</v>
      </c>
      <c r="AM143" s="1" t="s">
        <v>58</v>
      </c>
    </row>
    <row r="144" ht="15.75" customHeight="1">
      <c r="A144" s="1" t="s">
        <v>1299</v>
      </c>
      <c r="B144" s="1" t="s">
        <v>41</v>
      </c>
      <c r="C144" s="1" t="s">
        <v>1300</v>
      </c>
      <c r="D144" s="2">
        <v>43284.0</v>
      </c>
      <c r="E144" s="1" t="s">
        <v>1301</v>
      </c>
      <c r="F144" s="1" t="s">
        <v>1302</v>
      </c>
      <c r="G144" s="1" t="s">
        <v>1303</v>
      </c>
      <c r="H144" s="1" t="s">
        <v>1304</v>
      </c>
      <c r="L144" s="1" t="s">
        <v>1305</v>
      </c>
      <c r="M144" s="1" t="s">
        <v>113</v>
      </c>
      <c r="N144" s="1">
        <v>3124.0</v>
      </c>
      <c r="O144" s="1" t="s">
        <v>49</v>
      </c>
      <c r="P144" s="1">
        <v>4.51470455E8</v>
      </c>
      <c r="Q144" s="1" t="str">
        <f>"451470455"</f>
        <v>451470455</v>
      </c>
      <c r="S144" s="1" t="str">
        <f t="shared" si="35"/>
        <v/>
      </c>
      <c r="U144" s="1" t="str">
        <f t="shared" si="37"/>
        <v/>
      </c>
      <c r="V144" s="1" t="s">
        <v>1306</v>
      </c>
      <c r="W144" s="1" t="s">
        <v>51</v>
      </c>
      <c r="X144" s="1" t="s">
        <v>230</v>
      </c>
      <c r="Y144" s="1" t="s">
        <v>115</v>
      </c>
      <c r="Z144" s="1" t="s">
        <v>1307</v>
      </c>
      <c r="AB144" s="1" t="s">
        <v>54</v>
      </c>
      <c r="AC144" s="1" t="s">
        <v>55</v>
      </c>
      <c r="AD144" s="1">
        <v>3.0</v>
      </c>
      <c r="AE144" s="1" t="s">
        <v>56</v>
      </c>
      <c r="AF144" s="1">
        <v>3.0</v>
      </c>
      <c r="AG144" s="1" t="s">
        <v>1300</v>
      </c>
      <c r="AH144" s="2">
        <v>43284.0</v>
      </c>
      <c r="AI144" s="1" t="s">
        <v>440</v>
      </c>
      <c r="AJ144" s="1">
        <v>3.0</v>
      </c>
      <c r="AK144" s="1">
        <v>4.0</v>
      </c>
      <c r="AL144" s="1">
        <v>2.0</v>
      </c>
      <c r="AM144" s="1" t="s">
        <v>58</v>
      </c>
    </row>
    <row r="145" ht="15.75" customHeight="1">
      <c r="A145" s="1" t="s">
        <v>1308</v>
      </c>
      <c r="B145" s="1" t="s">
        <v>41</v>
      </c>
      <c r="C145" s="1" t="s">
        <v>1309</v>
      </c>
      <c r="D145" s="2">
        <v>43284.0</v>
      </c>
      <c r="E145" s="1" t="s">
        <v>1310</v>
      </c>
      <c r="F145" s="1" t="s">
        <v>1311</v>
      </c>
      <c r="G145" s="1" t="s">
        <v>1312</v>
      </c>
      <c r="H145" s="1" t="s">
        <v>1313</v>
      </c>
      <c r="L145" s="1" t="s">
        <v>1314</v>
      </c>
      <c r="M145" s="1" t="s">
        <v>1315</v>
      </c>
      <c r="N145" s="1">
        <v>3187.0</v>
      </c>
      <c r="O145" s="1" t="s">
        <v>49</v>
      </c>
      <c r="P145" s="1">
        <v>4.01671618E8</v>
      </c>
      <c r="Q145" s="1" t="str">
        <f t="shared" ref="Q145:Q146" si="38">"401671618"</f>
        <v>401671618</v>
      </c>
      <c r="S145" s="1" t="str">
        <f t="shared" si="35"/>
        <v/>
      </c>
      <c r="T145" s="1">
        <v>4.01671618E8</v>
      </c>
      <c r="U145" s="1" t="str">
        <f t="shared" ref="U145:U146" si="39">"0401671618"</f>
        <v>0401671618</v>
      </c>
      <c r="V145" s="1" t="s">
        <v>1316</v>
      </c>
      <c r="W145" s="1" t="s">
        <v>70</v>
      </c>
      <c r="Y145" s="1" t="s">
        <v>52</v>
      </c>
      <c r="Z145" s="1" t="s">
        <v>1317</v>
      </c>
      <c r="AB145" s="1" t="s">
        <v>54</v>
      </c>
      <c r="AC145" s="1" t="s">
        <v>55</v>
      </c>
      <c r="AD145" s="1">
        <v>3.0</v>
      </c>
      <c r="AE145" s="1" t="s">
        <v>56</v>
      </c>
      <c r="AF145" s="1">
        <v>3.0</v>
      </c>
      <c r="AG145" s="1" t="s">
        <v>1309</v>
      </c>
      <c r="AH145" s="2">
        <v>43284.0</v>
      </c>
      <c r="AI145" s="1" t="s">
        <v>440</v>
      </c>
      <c r="AJ145" s="1">
        <v>29.0</v>
      </c>
      <c r="AK145" s="1">
        <v>29.0</v>
      </c>
      <c r="AL145" s="1">
        <v>1.0</v>
      </c>
      <c r="AM145" s="1" t="s">
        <v>58</v>
      </c>
    </row>
    <row r="146" ht="15.75" customHeight="1">
      <c r="A146" s="1" t="s">
        <v>1308</v>
      </c>
      <c r="B146" s="1" t="s">
        <v>41</v>
      </c>
      <c r="C146" s="1" t="s">
        <v>1309</v>
      </c>
      <c r="D146" s="2">
        <v>43284.0</v>
      </c>
      <c r="E146" s="1" t="s">
        <v>1310</v>
      </c>
      <c r="F146" s="1" t="s">
        <v>1311</v>
      </c>
      <c r="G146" s="1" t="s">
        <v>1312</v>
      </c>
      <c r="H146" s="1" t="s">
        <v>1313</v>
      </c>
      <c r="L146" s="1" t="s">
        <v>1314</v>
      </c>
      <c r="M146" s="1" t="s">
        <v>1315</v>
      </c>
      <c r="N146" s="1">
        <v>3187.0</v>
      </c>
      <c r="O146" s="1" t="s">
        <v>49</v>
      </c>
      <c r="P146" s="1">
        <v>4.01671618E8</v>
      </c>
      <c r="Q146" s="1" t="str">
        <f t="shared" si="38"/>
        <v>401671618</v>
      </c>
      <c r="S146" s="1" t="str">
        <f t="shared" si="35"/>
        <v/>
      </c>
      <c r="T146" s="1">
        <v>4.01671618E8</v>
      </c>
      <c r="U146" s="1" t="str">
        <f t="shared" si="39"/>
        <v>0401671618</v>
      </c>
      <c r="V146" s="1" t="s">
        <v>1316</v>
      </c>
      <c r="W146" s="1" t="s">
        <v>70</v>
      </c>
      <c r="Y146" s="1" t="s">
        <v>52</v>
      </c>
      <c r="Z146" s="1" t="s">
        <v>1317</v>
      </c>
      <c r="AB146" s="1" t="s">
        <v>54</v>
      </c>
      <c r="AC146" s="1" t="s">
        <v>55</v>
      </c>
      <c r="AD146" s="1">
        <v>3.0</v>
      </c>
      <c r="AE146" s="1" t="s">
        <v>56</v>
      </c>
      <c r="AF146" s="1">
        <v>3.0</v>
      </c>
      <c r="AG146" s="1" t="s">
        <v>1309</v>
      </c>
      <c r="AH146" s="2">
        <v>43284.0</v>
      </c>
      <c r="AI146" s="1" t="s">
        <v>440</v>
      </c>
      <c r="AJ146" s="1">
        <v>32.0</v>
      </c>
      <c r="AK146" s="1">
        <v>32.0</v>
      </c>
      <c r="AL146" s="1">
        <v>1.0</v>
      </c>
      <c r="AM146" s="1" t="s">
        <v>58</v>
      </c>
    </row>
    <row r="147" ht="15.75" customHeight="1">
      <c r="A147" s="1" t="s">
        <v>1318</v>
      </c>
      <c r="B147" s="1" t="s">
        <v>41</v>
      </c>
      <c r="C147" s="1" t="s">
        <v>1319</v>
      </c>
      <c r="D147" s="2">
        <v>43284.0</v>
      </c>
      <c r="E147" s="1" t="s">
        <v>1320</v>
      </c>
      <c r="F147" s="1" t="s">
        <v>1321</v>
      </c>
      <c r="G147" s="1" t="s">
        <v>1322</v>
      </c>
      <c r="H147" s="1" t="s">
        <v>1323</v>
      </c>
      <c r="L147" s="1" t="s">
        <v>1324</v>
      </c>
      <c r="M147" s="1" t="s">
        <v>569</v>
      </c>
      <c r="N147" s="1">
        <v>3108.0</v>
      </c>
      <c r="O147" s="1" t="s">
        <v>49</v>
      </c>
      <c r="P147" s="1">
        <v>4.32651364E8</v>
      </c>
      <c r="Q147" s="1" t="str">
        <f>"432651364"</f>
        <v>432651364</v>
      </c>
      <c r="S147" s="1" t="str">
        <f t="shared" si="35"/>
        <v/>
      </c>
      <c r="U147" s="1" t="str">
        <f>""</f>
        <v/>
      </c>
      <c r="V147" s="1" t="s">
        <v>1325</v>
      </c>
      <c r="W147" s="1" t="s">
        <v>51</v>
      </c>
      <c r="Y147" s="1" t="s">
        <v>115</v>
      </c>
      <c r="Z147" s="1" t="s">
        <v>1326</v>
      </c>
      <c r="AB147" s="1" t="s">
        <v>54</v>
      </c>
      <c r="AC147" s="1" t="s">
        <v>55</v>
      </c>
      <c r="AD147" s="1">
        <v>4.0</v>
      </c>
      <c r="AE147" s="1" t="s">
        <v>180</v>
      </c>
      <c r="AF147" s="1">
        <v>4.0</v>
      </c>
      <c r="AG147" s="1" t="s">
        <v>1319</v>
      </c>
      <c r="AH147" s="2">
        <v>43284.0</v>
      </c>
      <c r="AI147" s="1" t="s">
        <v>72</v>
      </c>
      <c r="AJ147" s="1">
        <v>32.0</v>
      </c>
      <c r="AK147" s="1">
        <v>33.0</v>
      </c>
      <c r="AL147" s="1">
        <v>2.0</v>
      </c>
      <c r="AM147" s="1" t="s">
        <v>58</v>
      </c>
    </row>
    <row r="148" ht="15.75" customHeight="1">
      <c r="A148" s="1" t="s">
        <v>1327</v>
      </c>
      <c r="B148" s="1" t="s">
        <v>41</v>
      </c>
      <c r="C148" s="1" t="s">
        <v>1328</v>
      </c>
      <c r="D148" s="2">
        <v>43284.0</v>
      </c>
      <c r="E148" s="1" t="s">
        <v>1329</v>
      </c>
      <c r="F148" s="1" t="s">
        <v>1330</v>
      </c>
      <c r="G148" s="1" t="s">
        <v>1331</v>
      </c>
      <c r="H148" s="1" t="s">
        <v>1332</v>
      </c>
      <c r="L148" s="1" t="s">
        <v>1333</v>
      </c>
      <c r="M148" s="1" t="s">
        <v>1334</v>
      </c>
      <c r="N148" s="1">
        <v>3976.0</v>
      </c>
      <c r="O148" s="1" t="s">
        <v>49</v>
      </c>
      <c r="P148" s="1">
        <v>3.9702912E8</v>
      </c>
      <c r="Q148" s="1" t="str">
        <f>"397029120"</f>
        <v>397029120</v>
      </c>
      <c r="S148" s="1" t="str">
        <f t="shared" si="35"/>
        <v/>
      </c>
      <c r="T148" s="1">
        <v>4.02934175E8</v>
      </c>
      <c r="U148" s="1" t="str">
        <f>"0402934175"</f>
        <v>0402934175</v>
      </c>
      <c r="V148" s="1" t="s">
        <v>1335</v>
      </c>
      <c r="W148" s="1" t="s">
        <v>51</v>
      </c>
      <c r="Y148" s="1" t="s">
        <v>52</v>
      </c>
      <c r="Z148" s="1" t="s">
        <v>1336</v>
      </c>
      <c r="AB148" s="1" t="s">
        <v>54</v>
      </c>
      <c r="AC148" s="1" t="s">
        <v>55</v>
      </c>
      <c r="AD148" s="1">
        <v>4.0</v>
      </c>
      <c r="AE148" s="1" t="s">
        <v>180</v>
      </c>
      <c r="AF148" s="1">
        <v>4.0</v>
      </c>
      <c r="AG148" s="1" t="s">
        <v>1328</v>
      </c>
      <c r="AH148" s="2">
        <v>43284.0</v>
      </c>
      <c r="AI148" s="1" t="s">
        <v>57</v>
      </c>
      <c r="AJ148" s="1">
        <v>3.0</v>
      </c>
      <c r="AK148" s="1">
        <v>5.0</v>
      </c>
      <c r="AL148" s="1">
        <v>3.0</v>
      </c>
      <c r="AM148" s="1" t="s">
        <v>58</v>
      </c>
    </row>
    <row r="149" ht="15.75" customHeight="1">
      <c r="A149" s="1" t="s">
        <v>1337</v>
      </c>
      <c r="B149" s="1" t="s">
        <v>41</v>
      </c>
      <c r="C149" s="1" t="s">
        <v>1338</v>
      </c>
      <c r="D149" s="2">
        <v>43285.0</v>
      </c>
      <c r="E149" s="1" t="s">
        <v>1339</v>
      </c>
      <c r="F149" s="1" t="s">
        <v>1340</v>
      </c>
      <c r="G149" s="1" t="s">
        <v>1341</v>
      </c>
      <c r="H149" s="1" t="s">
        <v>1342</v>
      </c>
      <c r="L149" s="1" t="s">
        <v>1343</v>
      </c>
      <c r="M149" s="1" t="s">
        <v>1344</v>
      </c>
      <c r="N149" s="1">
        <v>3040.0</v>
      </c>
      <c r="O149" s="1" t="s">
        <v>49</v>
      </c>
      <c r="P149" s="1">
        <v>4.13031605E8</v>
      </c>
      <c r="Q149" s="1" t="str">
        <f>"413031605"</f>
        <v>413031605</v>
      </c>
      <c r="S149" s="1" t="str">
        <f t="shared" si="35"/>
        <v/>
      </c>
      <c r="T149" s="1">
        <v>4.13031605E8</v>
      </c>
      <c r="U149" s="1" t="str">
        <f>"0413031605"</f>
        <v>0413031605</v>
      </c>
      <c r="V149" s="1" t="s">
        <v>1345</v>
      </c>
      <c r="W149" s="1" t="s">
        <v>51</v>
      </c>
      <c r="Y149" s="1" t="s">
        <v>115</v>
      </c>
      <c r="Z149" s="1" t="s">
        <v>1346</v>
      </c>
      <c r="AB149" s="1" t="s">
        <v>54</v>
      </c>
      <c r="AC149" s="1" t="s">
        <v>55</v>
      </c>
      <c r="AD149" s="1">
        <v>4.0</v>
      </c>
      <c r="AE149" s="1" t="s">
        <v>180</v>
      </c>
      <c r="AF149" s="1">
        <v>4.0</v>
      </c>
      <c r="AG149" s="1" t="s">
        <v>1338</v>
      </c>
      <c r="AH149" s="2">
        <v>43285.0</v>
      </c>
      <c r="AI149" s="1" t="s">
        <v>85</v>
      </c>
      <c r="AJ149" s="1">
        <v>8.0</v>
      </c>
      <c r="AK149" s="1">
        <v>9.0</v>
      </c>
      <c r="AL149" s="1">
        <v>2.0</v>
      </c>
      <c r="AM149" s="1" t="s">
        <v>58</v>
      </c>
    </row>
    <row r="150" ht="15.75" customHeight="1">
      <c r="A150" s="1" t="s">
        <v>1347</v>
      </c>
      <c r="B150" s="1" t="s">
        <v>41</v>
      </c>
      <c r="C150" s="1" t="s">
        <v>1348</v>
      </c>
      <c r="D150" s="2">
        <v>43285.0</v>
      </c>
      <c r="E150" s="1" t="s">
        <v>1349</v>
      </c>
      <c r="F150" s="1" t="s">
        <v>1350</v>
      </c>
      <c r="G150" s="1" t="s">
        <v>1351</v>
      </c>
      <c r="H150" s="1" t="s">
        <v>1352</v>
      </c>
      <c r="L150" s="1" t="s">
        <v>1353</v>
      </c>
      <c r="M150" s="1" t="s">
        <v>1354</v>
      </c>
      <c r="N150" s="1">
        <v>3025.0</v>
      </c>
      <c r="O150" s="1" t="s">
        <v>49</v>
      </c>
      <c r="P150" s="1">
        <v>4.21799912E8</v>
      </c>
      <c r="Q150" s="1" t="str">
        <f t="shared" ref="Q150:Q151" si="40">"421799912"</f>
        <v>421799912</v>
      </c>
      <c r="S150" s="1" t="str">
        <f t="shared" si="35"/>
        <v/>
      </c>
      <c r="T150" s="1">
        <v>4.21799912E8</v>
      </c>
      <c r="U150" s="1" t="str">
        <f t="shared" ref="U150:U151" si="41">"0421799912"</f>
        <v>0421799912</v>
      </c>
      <c r="V150" s="1" t="s">
        <v>1355</v>
      </c>
      <c r="W150" s="1" t="s">
        <v>51</v>
      </c>
      <c r="Y150" s="1" t="s">
        <v>115</v>
      </c>
      <c r="Z150" s="1" t="s">
        <v>1356</v>
      </c>
      <c r="AB150" s="1" t="s">
        <v>54</v>
      </c>
      <c r="AC150" s="1" t="s">
        <v>55</v>
      </c>
      <c r="AD150" s="1">
        <v>2.0</v>
      </c>
      <c r="AE150" s="1" t="s">
        <v>56</v>
      </c>
      <c r="AF150" s="1">
        <v>2.0</v>
      </c>
      <c r="AG150" s="1" t="s">
        <v>1348</v>
      </c>
      <c r="AH150" s="2">
        <v>43285.0</v>
      </c>
      <c r="AI150" s="1" t="s">
        <v>631</v>
      </c>
      <c r="AJ150" s="1">
        <v>20.0</v>
      </c>
      <c r="AK150" s="1">
        <v>23.0</v>
      </c>
      <c r="AL150" s="1">
        <v>4.0</v>
      </c>
      <c r="AM150" s="1" t="s">
        <v>58</v>
      </c>
    </row>
    <row r="151" ht="15.75" customHeight="1">
      <c r="A151" s="1" t="s">
        <v>1347</v>
      </c>
      <c r="B151" s="1" t="s">
        <v>41</v>
      </c>
      <c r="C151" s="1" t="s">
        <v>1348</v>
      </c>
      <c r="D151" s="2">
        <v>43285.0</v>
      </c>
      <c r="E151" s="1" t="s">
        <v>1349</v>
      </c>
      <c r="F151" s="1" t="s">
        <v>1350</v>
      </c>
      <c r="G151" s="1" t="s">
        <v>1351</v>
      </c>
      <c r="H151" s="1" t="s">
        <v>1352</v>
      </c>
      <c r="L151" s="1" t="s">
        <v>1353</v>
      </c>
      <c r="M151" s="1" t="s">
        <v>1354</v>
      </c>
      <c r="N151" s="1">
        <v>3025.0</v>
      </c>
      <c r="O151" s="1" t="s">
        <v>49</v>
      </c>
      <c r="P151" s="1">
        <v>4.21799912E8</v>
      </c>
      <c r="Q151" s="1" t="str">
        <f t="shared" si="40"/>
        <v>421799912</v>
      </c>
      <c r="S151" s="1" t="str">
        <f t="shared" si="35"/>
        <v/>
      </c>
      <c r="T151" s="1">
        <v>4.21799912E8</v>
      </c>
      <c r="U151" s="1" t="str">
        <f t="shared" si="41"/>
        <v>0421799912</v>
      </c>
      <c r="V151" s="1" t="s">
        <v>1355</v>
      </c>
      <c r="W151" s="1" t="s">
        <v>51</v>
      </c>
      <c r="Y151" s="1" t="s">
        <v>115</v>
      </c>
      <c r="Z151" s="1" t="s">
        <v>1356</v>
      </c>
      <c r="AB151" s="1" t="s">
        <v>54</v>
      </c>
      <c r="AC151" s="1" t="s">
        <v>55</v>
      </c>
      <c r="AD151" s="1">
        <v>2.0</v>
      </c>
      <c r="AE151" s="1" t="s">
        <v>56</v>
      </c>
      <c r="AF151" s="1">
        <v>2.0</v>
      </c>
      <c r="AG151" s="1" t="s">
        <v>1348</v>
      </c>
      <c r="AH151" s="2">
        <v>43285.0</v>
      </c>
      <c r="AI151" s="1" t="s">
        <v>117</v>
      </c>
      <c r="AJ151" s="1">
        <v>20.0</v>
      </c>
      <c r="AK151" s="1">
        <v>23.0</v>
      </c>
      <c r="AL151" s="1">
        <v>4.0</v>
      </c>
      <c r="AM151" s="1" t="s">
        <v>58</v>
      </c>
    </row>
    <row r="152" ht="15.75" customHeight="1">
      <c r="A152" s="1" t="s">
        <v>1357</v>
      </c>
      <c r="B152" s="1" t="s">
        <v>41</v>
      </c>
      <c r="C152" s="1" t="s">
        <v>1358</v>
      </c>
      <c r="D152" s="2">
        <v>43285.0</v>
      </c>
      <c r="E152" s="1" t="s">
        <v>1359</v>
      </c>
      <c r="F152" s="1" t="s">
        <v>1360</v>
      </c>
      <c r="G152" s="1" t="s">
        <v>1361</v>
      </c>
      <c r="H152" s="1" t="s">
        <v>1362</v>
      </c>
      <c r="L152" s="1" t="s">
        <v>1363</v>
      </c>
      <c r="M152" s="1" t="s">
        <v>1364</v>
      </c>
      <c r="N152" s="1">
        <v>3089.0</v>
      </c>
      <c r="O152" s="1" t="s">
        <v>49</v>
      </c>
      <c r="P152" s="1">
        <v>4.23424054E8</v>
      </c>
      <c r="Q152" s="1" t="str">
        <f>"423424054"</f>
        <v>423424054</v>
      </c>
      <c r="S152" s="1" t="str">
        <f t="shared" si="35"/>
        <v/>
      </c>
      <c r="U152" s="1" t="str">
        <f t="shared" ref="U152:U154" si="42">""</f>
        <v/>
      </c>
      <c r="V152" s="1" t="s">
        <v>1365</v>
      </c>
      <c r="W152" s="1" t="s">
        <v>70</v>
      </c>
      <c r="Y152" s="1" t="s">
        <v>52</v>
      </c>
      <c r="Z152" s="1" t="s">
        <v>1366</v>
      </c>
      <c r="AB152" s="1" t="s">
        <v>54</v>
      </c>
      <c r="AC152" s="1" t="s">
        <v>55</v>
      </c>
      <c r="AD152" s="1">
        <v>4.0</v>
      </c>
      <c r="AE152" s="1" t="s">
        <v>180</v>
      </c>
      <c r="AF152" s="1">
        <v>4.0</v>
      </c>
      <c r="AG152" s="1" t="s">
        <v>1358</v>
      </c>
      <c r="AH152" s="2">
        <v>43285.0</v>
      </c>
      <c r="AI152" s="1" t="s">
        <v>85</v>
      </c>
      <c r="AJ152" s="1">
        <v>28.0</v>
      </c>
      <c r="AK152" s="1">
        <v>29.0</v>
      </c>
      <c r="AL152" s="1">
        <v>2.0</v>
      </c>
      <c r="AM152" s="1" t="s">
        <v>58</v>
      </c>
    </row>
    <row r="153" ht="15.75" customHeight="1">
      <c r="A153" s="1" t="s">
        <v>1367</v>
      </c>
      <c r="B153" s="1" t="s">
        <v>41</v>
      </c>
      <c r="C153" s="1" t="s">
        <v>1368</v>
      </c>
      <c r="D153" s="2">
        <v>43285.0</v>
      </c>
      <c r="E153" s="1" t="s">
        <v>1369</v>
      </c>
      <c r="F153" s="1" t="s">
        <v>1370</v>
      </c>
      <c r="G153" s="1" t="s">
        <v>1371</v>
      </c>
      <c r="H153" s="1" t="s">
        <v>1372</v>
      </c>
      <c r="L153" s="1" t="s">
        <v>1373</v>
      </c>
      <c r="M153" s="1" t="s">
        <v>1374</v>
      </c>
      <c r="N153" s="1">
        <v>3018.0</v>
      </c>
      <c r="O153" s="1" t="s">
        <v>49</v>
      </c>
      <c r="P153" s="1">
        <v>4.05300391E8</v>
      </c>
      <c r="Q153" s="1" t="str">
        <f>"0405300391"</f>
        <v>0405300391</v>
      </c>
      <c r="S153" s="1" t="str">
        <f t="shared" si="35"/>
        <v/>
      </c>
      <c r="U153" s="1" t="str">
        <f t="shared" si="42"/>
        <v/>
      </c>
      <c r="V153" s="1" t="s">
        <v>1375</v>
      </c>
      <c r="W153" s="1" t="s">
        <v>70</v>
      </c>
      <c r="Y153" s="1" t="s">
        <v>1376</v>
      </c>
      <c r="Z153" s="1" t="s">
        <v>1377</v>
      </c>
      <c r="AB153" s="1" t="s">
        <v>54</v>
      </c>
      <c r="AC153" s="1" t="s">
        <v>55</v>
      </c>
      <c r="AD153" s="1">
        <v>2.0</v>
      </c>
      <c r="AE153" s="1" t="s">
        <v>56</v>
      </c>
      <c r="AF153" s="1">
        <v>2.0</v>
      </c>
      <c r="AG153" s="1" t="s">
        <v>1368</v>
      </c>
      <c r="AH153" s="2">
        <v>43285.0</v>
      </c>
      <c r="AI153" s="1" t="s">
        <v>1024</v>
      </c>
      <c r="AJ153" s="1">
        <v>8.0</v>
      </c>
      <c r="AK153" s="1">
        <v>11.0</v>
      </c>
      <c r="AL153" s="1">
        <v>4.0</v>
      </c>
      <c r="AM153" s="1" t="s">
        <v>58</v>
      </c>
    </row>
    <row r="154" ht="15.75" customHeight="1">
      <c r="A154" s="1" t="s">
        <v>1378</v>
      </c>
      <c r="B154" s="1" t="s">
        <v>41</v>
      </c>
      <c r="C154" s="1" t="s">
        <v>1379</v>
      </c>
      <c r="D154" s="2">
        <v>43285.0</v>
      </c>
      <c r="E154" s="1" t="s">
        <v>1380</v>
      </c>
      <c r="F154" s="1" t="s">
        <v>1381</v>
      </c>
      <c r="G154" s="1" t="s">
        <v>1382</v>
      </c>
      <c r="H154" s="1" t="s">
        <v>1383</v>
      </c>
      <c r="L154" s="1" t="s">
        <v>1384</v>
      </c>
      <c r="M154" s="1" t="s">
        <v>680</v>
      </c>
      <c r="N154" s="1">
        <v>3032.0</v>
      </c>
      <c r="O154" s="1" t="s">
        <v>49</v>
      </c>
      <c r="P154" s="1">
        <v>4.49597004E8</v>
      </c>
      <c r="Q154" s="1" t="str">
        <f>"449597004"</f>
        <v>449597004</v>
      </c>
      <c r="S154" s="1" t="str">
        <f t="shared" si="35"/>
        <v/>
      </c>
      <c r="U154" s="1" t="str">
        <f t="shared" si="42"/>
        <v/>
      </c>
      <c r="V154" s="1" t="s">
        <v>1385</v>
      </c>
      <c r="W154" s="1" t="s">
        <v>70</v>
      </c>
      <c r="Y154" s="1" t="s">
        <v>115</v>
      </c>
      <c r="Z154" s="1" t="s">
        <v>1386</v>
      </c>
      <c r="AB154" s="1" t="s">
        <v>54</v>
      </c>
      <c r="AC154" s="1" t="s">
        <v>55</v>
      </c>
      <c r="AD154" s="1">
        <v>4.0</v>
      </c>
      <c r="AE154" s="1" t="s">
        <v>180</v>
      </c>
      <c r="AF154" s="1">
        <v>4.0</v>
      </c>
      <c r="AG154" s="1" t="s">
        <v>1379</v>
      </c>
      <c r="AH154" s="2">
        <v>43285.0</v>
      </c>
      <c r="AI154" s="1" t="s">
        <v>1298</v>
      </c>
      <c r="AJ154" s="1">
        <v>23.0</v>
      </c>
      <c r="AK154" s="1">
        <v>26.0</v>
      </c>
      <c r="AL154" s="1">
        <v>4.0</v>
      </c>
      <c r="AM154" s="1" t="s">
        <v>58</v>
      </c>
    </row>
    <row r="155" ht="15.75" customHeight="1">
      <c r="A155" s="1" t="s">
        <v>1387</v>
      </c>
      <c r="B155" s="1" t="s">
        <v>41</v>
      </c>
      <c r="C155" s="1" t="s">
        <v>1388</v>
      </c>
      <c r="D155" s="2">
        <v>43286.0</v>
      </c>
      <c r="E155" s="1" t="s">
        <v>1389</v>
      </c>
      <c r="F155" s="1" t="s">
        <v>1390</v>
      </c>
      <c r="G155" s="1" t="s">
        <v>1391</v>
      </c>
      <c r="H155" s="1" t="s">
        <v>1203</v>
      </c>
      <c r="L155" s="1" t="s">
        <v>1392</v>
      </c>
      <c r="M155" s="1" t="s">
        <v>329</v>
      </c>
      <c r="N155" s="1">
        <v>3150.0</v>
      </c>
      <c r="O155" s="1" t="s">
        <v>49</v>
      </c>
      <c r="P155" s="1">
        <v>4.13790279E8</v>
      </c>
      <c r="Q155" s="1" t="str">
        <f>"413790279"</f>
        <v>413790279</v>
      </c>
      <c r="S155" s="1" t="str">
        <f t="shared" si="35"/>
        <v/>
      </c>
      <c r="T155" s="1">
        <v>4.13790279E8</v>
      </c>
      <c r="U155" s="1" t="str">
        <f>"0413790279"</f>
        <v>0413790279</v>
      </c>
      <c r="V155" s="1" t="s">
        <v>1393</v>
      </c>
      <c r="W155" s="1" t="s">
        <v>51</v>
      </c>
      <c r="Y155" s="1" t="s">
        <v>115</v>
      </c>
      <c r="Z155" s="1" t="s">
        <v>1394</v>
      </c>
      <c r="AB155" s="1" t="s">
        <v>54</v>
      </c>
      <c r="AC155" s="1" t="s">
        <v>55</v>
      </c>
      <c r="AD155" s="1">
        <v>4.0</v>
      </c>
      <c r="AE155" s="1" t="s">
        <v>180</v>
      </c>
      <c r="AF155" s="1">
        <v>4.0</v>
      </c>
      <c r="AG155" s="1" t="s">
        <v>1388</v>
      </c>
      <c r="AH155" s="2">
        <v>43286.0</v>
      </c>
      <c r="AI155" s="1" t="s">
        <v>85</v>
      </c>
      <c r="AJ155" s="1">
        <v>10.0</v>
      </c>
      <c r="AK155" s="1">
        <v>11.0</v>
      </c>
      <c r="AL155" s="1">
        <v>2.0</v>
      </c>
      <c r="AM155" s="1" t="s">
        <v>58</v>
      </c>
    </row>
    <row r="156" ht="15.75" customHeight="1">
      <c r="A156" s="1" t="s">
        <v>1395</v>
      </c>
      <c r="B156" s="1" t="s">
        <v>41</v>
      </c>
      <c r="C156" s="1" t="s">
        <v>1396</v>
      </c>
      <c r="D156" s="2">
        <v>43286.0</v>
      </c>
      <c r="E156" s="1" t="s">
        <v>1397</v>
      </c>
      <c r="F156" s="1" t="s">
        <v>1398</v>
      </c>
      <c r="G156" s="1" t="s">
        <v>1399</v>
      </c>
      <c r="H156" s="1" t="s">
        <v>1400</v>
      </c>
      <c r="L156" s="1" t="s">
        <v>1401</v>
      </c>
      <c r="M156" s="1" t="s">
        <v>1402</v>
      </c>
      <c r="N156" s="1">
        <v>3150.0</v>
      </c>
      <c r="O156" s="1" t="s">
        <v>49</v>
      </c>
      <c r="P156" s="1">
        <v>4.13205628E8</v>
      </c>
      <c r="Q156" s="1" t="str">
        <f>"0413205628"</f>
        <v>0413205628</v>
      </c>
      <c r="S156" s="1" t="str">
        <f t="shared" si="35"/>
        <v/>
      </c>
      <c r="U156" s="1" t="str">
        <f t="shared" ref="U156:U160" si="43">""</f>
        <v/>
      </c>
      <c r="V156" s="1" t="s">
        <v>1403</v>
      </c>
      <c r="W156" s="1" t="s">
        <v>70</v>
      </c>
      <c r="Y156" s="1" t="s">
        <v>1168</v>
      </c>
      <c r="Z156" s="1" t="s">
        <v>1404</v>
      </c>
      <c r="AB156" s="1" t="s">
        <v>54</v>
      </c>
      <c r="AC156" s="1" t="s">
        <v>55</v>
      </c>
      <c r="AD156" s="1">
        <v>2.0</v>
      </c>
      <c r="AE156" s="1" t="s">
        <v>56</v>
      </c>
      <c r="AF156" s="1">
        <v>2.0</v>
      </c>
      <c r="AG156" s="1" t="s">
        <v>1396</v>
      </c>
      <c r="AH156" s="2">
        <v>43286.0</v>
      </c>
      <c r="AI156" s="1" t="s">
        <v>1024</v>
      </c>
      <c r="AJ156" s="1">
        <v>32.0</v>
      </c>
      <c r="AK156" s="1">
        <v>33.0</v>
      </c>
      <c r="AL156" s="1">
        <v>2.0</v>
      </c>
      <c r="AM156" s="1" t="s">
        <v>58</v>
      </c>
    </row>
    <row r="157" ht="15.75" customHeight="1">
      <c r="A157" s="1" t="s">
        <v>1405</v>
      </c>
      <c r="B157" s="1" t="s">
        <v>41</v>
      </c>
      <c r="C157" s="1" t="s">
        <v>1406</v>
      </c>
      <c r="D157" s="2">
        <v>43286.0</v>
      </c>
      <c r="E157" s="1" t="s">
        <v>1407</v>
      </c>
      <c r="F157" s="1" t="s">
        <v>1408</v>
      </c>
      <c r="G157" s="1" t="s">
        <v>1409</v>
      </c>
      <c r="H157" s="1" t="s">
        <v>1410</v>
      </c>
      <c r="L157" s="1" t="s">
        <v>1411</v>
      </c>
      <c r="M157" s="1" t="s">
        <v>146</v>
      </c>
      <c r="N157" s="1">
        <v>3106.0</v>
      </c>
      <c r="O157" s="1" t="s">
        <v>49</v>
      </c>
      <c r="P157" s="1">
        <v>4.11656116E8</v>
      </c>
      <c r="Q157" s="1" t="str">
        <f>"411656116"</f>
        <v>411656116</v>
      </c>
      <c r="S157" s="1" t="str">
        <f t="shared" si="35"/>
        <v/>
      </c>
      <c r="U157" s="1" t="str">
        <f t="shared" si="43"/>
        <v/>
      </c>
      <c r="V157" s="1" t="s">
        <v>1412</v>
      </c>
      <c r="W157" s="1" t="s">
        <v>70</v>
      </c>
      <c r="Y157" s="1" t="s">
        <v>115</v>
      </c>
      <c r="Z157" s="1" t="s">
        <v>1413</v>
      </c>
      <c r="AB157" s="1" t="s">
        <v>54</v>
      </c>
      <c r="AC157" s="1" t="s">
        <v>55</v>
      </c>
      <c r="AD157" s="1">
        <v>4.0</v>
      </c>
      <c r="AE157" s="1" t="s">
        <v>180</v>
      </c>
      <c r="AF157" s="1">
        <v>4.0</v>
      </c>
      <c r="AG157" s="1" t="s">
        <v>1406</v>
      </c>
      <c r="AH157" s="2">
        <v>43286.0</v>
      </c>
      <c r="AI157" s="1" t="s">
        <v>1024</v>
      </c>
      <c r="AJ157" s="1">
        <v>10.0</v>
      </c>
      <c r="AK157" s="1">
        <v>17.0</v>
      </c>
      <c r="AL157" s="1">
        <v>8.0</v>
      </c>
      <c r="AM157" s="1" t="s">
        <v>58</v>
      </c>
    </row>
    <row r="158" ht="15.75" customHeight="1">
      <c r="A158" s="1" t="s">
        <v>1414</v>
      </c>
      <c r="B158" s="1" t="s">
        <v>41</v>
      </c>
      <c r="C158" s="1" t="s">
        <v>1415</v>
      </c>
      <c r="D158" s="2">
        <v>43286.0</v>
      </c>
      <c r="E158" s="1" t="s">
        <v>503</v>
      </c>
      <c r="F158" s="1" t="s">
        <v>504</v>
      </c>
      <c r="G158" s="1" t="s">
        <v>505</v>
      </c>
      <c r="H158" s="1" t="s">
        <v>506</v>
      </c>
      <c r="L158" s="1" t="s">
        <v>1416</v>
      </c>
      <c r="M158" s="1" t="s">
        <v>156</v>
      </c>
      <c r="N158" s="1">
        <v>3056.0</v>
      </c>
      <c r="O158" s="1" t="s">
        <v>49</v>
      </c>
      <c r="P158" s="1">
        <v>4.20894849E8</v>
      </c>
      <c r="Q158" s="1" t="str">
        <f>"420894849"</f>
        <v>420894849</v>
      </c>
      <c r="S158" s="1" t="str">
        <f t="shared" si="35"/>
        <v/>
      </c>
      <c r="U158" s="1" t="str">
        <f t="shared" si="43"/>
        <v/>
      </c>
      <c r="V158" s="1" t="s">
        <v>510</v>
      </c>
      <c r="W158" s="1" t="s">
        <v>51</v>
      </c>
      <c r="Y158" s="1" t="s">
        <v>52</v>
      </c>
      <c r="Z158" s="1" t="s">
        <v>511</v>
      </c>
      <c r="AB158" s="1" t="s">
        <v>54</v>
      </c>
      <c r="AC158" s="1" t="s">
        <v>55</v>
      </c>
      <c r="AD158" s="1">
        <v>2.0</v>
      </c>
      <c r="AE158" s="1" t="s">
        <v>56</v>
      </c>
      <c r="AF158" s="1">
        <v>2.0</v>
      </c>
      <c r="AG158" s="1" t="s">
        <v>1415</v>
      </c>
      <c r="AH158" s="2">
        <v>43286.0</v>
      </c>
      <c r="AI158" s="1" t="s">
        <v>85</v>
      </c>
      <c r="AJ158" s="1">
        <v>11.0</v>
      </c>
      <c r="AK158" s="1">
        <v>11.0</v>
      </c>
      <c r="AL158" s="1">
        <v>1.0</v>
      </c>
      <c r="AM158" s="1" t="s">
        <v>58</v>
      </c>
    </row>
    <row r="159" ht="15.75" customHeight="1">
      <c r="A159" s="1" t="s">
        <v>1417</v>
      </c>
      <c r="B159" s="1" t="s">
        <v>41</v>
      </c>
      <c r="C159" s="1" t="s">
        <v>1418</v>
      </c>
      <c r="D159" s="2">
        <v>43287.0</v>
      </c>
      <c r="E159" s="1" t="s">
        <v>1419</v>
      </c>
      <c r="F159" s="1" t="s">
        <v>1420</v>
      </c>
      <c r="G159" s="1" t="s">
        <v>1421</v>
      </c>
      <c r="H159" s="1" t="s">
        <v>1422</v>
      </c>
      <c r="J159" s="1" t="s">
        <v>1423</v>
      </c>
      <c r="L159" s="1" t="s">
        <v>1424</v>
      </c>
      <c r="M159" s="1" t="s">
        <v>1425</v>
      </c>
      <c r="N159" s="1">
        <v>10100.0</v>
      </c>
      <c r="O159" s="1" t="s">
        <v>1426</v>
      </c>
      <c r="P159" s="1">
        <v>4.20773183E9</v>
      </c>
      <c r="Q159" s="1" t="str">
        <f>"4207731830"</f>
        <v>4207731830</v>
      </c>
      <c r="R159" s="1">
        <v>21.0</v>
      </c>
      <c r="S159" s="1" t="str">
        <f>"21"</f>
        <v>21</v>
      </c>
      <c r="U159" s="1" t="str">
        <f t="shared" si="43"/>
        <v/>
      </c>
      <c r="V159" s="1" t="s">
        <v>1427</v>
      </c>
      <c r="W159" s="1" t="s">
        <v>70</v>
      </c>
      <c r="Y159" s="1" t="s">
        <v>52</v>
      </c>
      <c r="Z159" s="1" t="s">
        <v>1428</v>
      </c>
      <c r="AB159" s="1" t="s">
        <v>54</v>
      </c>
      <c r="AC159" s="1" t="s">
        <v>55</v>
      </c>
      <c r="AD159" s="1">
        <v>3.0</v>
      </c>
      <c r="AE159" s="1" t="s">
        <v>56</v>
      </c>
      <c r="AF159" s="1">
        <v>3.0</v>
      </c>
      <c r="AG159" s="1" t="s">
        <v>1418</v>
      </c>
      <c r="AH159" s="2">
        <v>43287.0</v>
      </c>
      <c r="AI159" s="1" t="s">
        <v>639</v>
      </c>
      <c r="AJ159" s="1">
        <v>2.0</v>
      </c>
      <c r="AK159" s="1">
        <v>3.0</v>
      </c>
      <c r="AL159" s="1">
        <v>2.0</v>
      </c>
      <c r="AM159" s="1" t="s">
        <v>58</v>
      </c>
    </row>
    <row r="160" ht="15.75" customHeight="1">
      <c r="A160" s="1" t="s">
        <v>1429</v>
      </c>
      <c r="B160" s="1" t="s">
        <v>41</v>
      </c>
      <c r="C160" s="1" t="s">
        <v>1430</v>
      </c>
      <c r="D160" s="2">
        <v>43287.0</v>
      </c>
      <c r="E160" s="1" t="s">
        <v>1431</v>
      </c>
      <c r="F160" s="1" t="s">
        <v>1432</v>
      </c>
      <c r="G160" s="1" t="s">
        <v>1433</v>
      </c>
      <c r="H160" s="1" t="s">
        <v>1434</v>
      </c>
      <c r="L160" s="1" t="s">
        <v>1435</v>
      </c>
      <c r="M160" s="1" t="s">
        <v>1436</v>
      </c>
      <c r="N160" s="1">
        <v>3088.0</v>
      </c>
      <c r="O160" s="1" t="s">
        <v>49</v>
      </c>
      <c r="P160" s="1">
        <v>4.0244506E8</v>
      </c>
      <c r="Q160" s="1" t="str">
        <f>"402445060"</f>
        <v>402445060</v>
      </c>
      <c r="S160" s="1" t="str">
        <f t="shared" ref="S160:S172" si="44">""</f>
        <v/>
      </c>
      <c r="U160" s="1" t="str">
        <f t="shared" si="43"/>
        <v/>
      </c>
      <c r="V160" s="1" t="s">
        <v>1437</v>
      </c>
      <c r="W160" s="1" t="s">
        <v>70</v>
      </c>
      <c r="Y160" s="1" t="s">
        <v>52</v>
      </c>
      <c r="Z160" s="1" t="s">
        <v>1438</v>
      </c>
      <c r="AB160" s="1" t="s">
        <v>54</v>
      </c>
      <c r="AC160" s="1" t="s">
        <v>55</v>
      </c>
      <c r="AD160" s="1">
        <v>4.0</v>
      </c>
      <c r="AE160" s="1" t="s">
        <v>180</v>
      </c>
      <c r="AF160" s="1">
        <v>4.0</v>
      </c>
      <c r="AG160" s="1" t="s">
        <v>1430</v>
      </c>
      <c r="AH160" s="2">
        <v>43287.0</v>
      </c>
      <c r="AI160" s="1" t="s">
        <v>85</v>
      </c>
      <c r="AJ160" s="1">
        <v>30.0</v>
      </c>
      <c r="AK160" s="1">
        <v>33.0</v>
      </c>
      <c r="AL160" s="1">
        <v>4.0</v>
      </c>
      <c r="AM160" s="1" t="s">
        <v>58</v>
      </c>
    </row>
    <row r="161" ht="15.75" customHeight="1">
      <c r="A161" s="1" t="s">
        <v>1439</v>
      </c>
      <c r="B161" s="1" t="s">
        <v>41</v>
      </c>
      <c r="C161" s="1" t="s">
        <v>1440</v>
      </c>
      <c r="D161" s="2">
        <v>43287.0</v>
      </c>
      <c r="E161" s="1" t="s">
        <v>1441</v>
      </c>
      <c r="F161" s="1" t="s">
        <v>1442</v>
      </c>
      <c r="G161" s="1" t="s">
        <v>1443</v>
      </c>
      <c r="H161" s="1" t="s">
        <v>1444</v>
      </c>
      <c r="L161" s="1" t="s">
        <v>1445</v>
      </c>
      <c r="M161" s="1" t="s">
        <v>1446</v>
      </c>
      <c r="N161" s="1">
        <v>3135.0</v>
      </c>
      <c r="O161" s="1" t="s">
        <v>49</v>
      </c>
      <c r="P161" s="1">
        <v>4.87501115E8</v>
      </c>
      <c r="Q161" s="1" t="str">
        <f>"487501115"</f>
        <v>487501115</v>
      </c>
      <c r="S161" s="1" t="str">
        <f t="shared" si="44"/>
        <v/>
      </c>
      <c r="T161" s="1">
        <v>4.87501115E8</v>
      </c>
      <c r="U161" s="1" t="str">
        <f>"0487501115"</f>
        <v>0487501115</v>
      </c>
      <c r="V161" s="1" t="s">
        <v>1447</v>
      </c>
      <c r="W161" s="1" t="s">
        <v>51</v>
      </c>
      <c r="Y161" s="1" t="s">
        <v>115</v>
      </c>
      <c r="Z161" s="1" t="s">
        <v>1448</v>
      </c>
      <c r="AB161" s="1" t="s">
        <v>54</v>
      </c>
      <c r="AC161" s="1" t="s">
        <v>55</v>
      </c>
      <c r="AD161" s="1">
        <v>2.0</v>
      </c>
      <c r="AE161" s="1" t="s">
        <v>56</v>
      </c>
      <c r="AF161" s="1">
        <v>2.0</v>
      </c>
      <c r="AG161" s="1" t="s">
        <v>1440</v>
      </c>
      <c r="AH161" s="2">
        <v>43287.0</v>
      </c>
      <c r="AI161" s="1" t="s">
        <v>57</v>
      </c>
      <c r="AJ161" s="1">
        <v>32.0</v>
      </c>
      <c r="AK161" s="1">
        <v>33.0</v>
      </c>
      <c r="AL161" s="1">
        <v>2.0</v>
      </c>
      <c r="AM161" s="1" t="s">
        <v>58</v>
      </c>
    </row>
    <row r="162" ht="15.75" customHeight="1">
      <c r="A162" s="1" t="s">
        <v>1449</v>
      </c>
      <c r="B162" s="1" t="s">
        <v>41</v>
      </c>
      <c r="C162" s="1" t="s">
        <v>1450</v>
      </c>
      <c r="D162" s="2">
        <v>43287.0</v>
      </c>
      <c r="E162" s="1" t="s">
        <v>1451</v>
      </c>
      <c r="F162" s="1" t="s">
        <v>1452</v>
      </c>
      <c r="G162" s="1" t="s">
        <v>1453</v>
      </c>
      <c r="H162" s="1" t="s">
        <v>1454</v>
      </c>
      <c r="L162" s="1" t="s">
        <v>1455</v>
      </c>
      <c r="M162" s="1" t="s">
        <v>1456</v>
      </c>
      <c r="N162" s="1">
        <v>3074.0</v>
      </c>
      <c r="O162" s="1" t="s">
        <v>49</v>
      </c>
      <c r="P162" s="1">
        <v>4.04600119E8</v>
      </c>
      <c r="Q162" s="1" t="str">
        <f>"0404600119"</f>
        <v>0404600119</v>
      </c>
      <c r="S162" s="1" t="str">
        <f t="shared" si="44"/>
        <v/>
      </c>
      <c r="U162" s="1" t="str">
        <f t="shared" ref="U162:U164" si="45">""</f>
        <v/>
      </c>
      <c r="V162" s="1" t="s">
        <v>1457</v>
      </c>
      <c r="W162" s="1" t="s">
        <v>70</v>
      </c>
      <c r="Y162" s="1" t="s">
        <v>1168</v>
      </c>
      <c r="Z162" s="1" t="s">
        <v>1458</v>
      </c>
      <c r="AB162" s="1" t="s">
        <v>54</v>
      </c>
      <c r="AC162" s="1" t="s">
        <v>55</v>
      </c>
      <c r="AD162" s="1">
        <v>2.0</v>
      </c>
      <c r="AE162" s="1" t="s">
        <v>56</v>
      </c>
      <c r="AF162" s="1">
        <v>2.0</v>
      </c>
      <c r="AG162" s="1" t="s">
        <v>1450</v>
      </c>
      <c r="AH162" s="2">
        <v>43287.0</v>
      </c>
      <c r="AI162" s="1" t="s">
        <v>57</v>
      </c>
      <c r="AJ162" s="1">
        <v>10.0</v>
      </c>
      <c r="AK162" s="1">
        <v>11.0</v>
      </c>
      <c r="AL162" s="1">
        <v>2.0</v>
      </c>
      <c r="AM162" s="1" t="s">
        <v>58</v>
      </c>
    </row>
    <row r="163" ht="15.75" customHeight="1">
      <c r="A163" s="1" t="s">
        <v>1459</v>
      </c>
      <c r="B163" s="1" t="s">
        <v>41</v>
      </c>
      <c r="C163" s="1" t="s">
        <v>1460</v>
      </c>
      <c r="D163" s="2">
        <v>43287.0</v>
      </c>
      <c r="E163" s="1" t="s">
        <v>1461</v>
      </c>
      <c r="F163" s="1" t="s">
        <v>1462</v>
      </c>
      <c r="G163" s="1" t="s">
        <v>1463</v>
      </c>
      <c r="H163" s="1" t="s">
        <v>1464</v>
      </c>
      <c r="L163" s="1" t="s">
        <v>1465</v>
      </c>
      <c r="M163" s="1" t="s">
        <v>1466</v>
      </c>
      <c r="N163" s="1">
        <v>5043.0</v>
      </c>
      <c r="O163" s="1" t="s">
        <v>49</v>
      </c>
      <c r="P163" s="1">
        <v>4.34674323E8</v>
      </c>
      <c r="Q163" s="1" t="str">
        <f>"0434674323"</f>
        <v>0434674323</v>
      </c>
      <c r="S163" s="1" t="str">
        <f t="shared" si="44"/>
        <v/>
      </c>
      <c r="U163" s="1" t="str">
        <f t="shared" si="45"/>
        <v/>
      </c>
      <c r="V163" s="1" t="s">
        <v>1467</v>
      </c>
      <c r="W163" s="1" t="s">
        <v>70</v>
      </c>
      <c r="Y163" s="1" t="s">
        <v>1168</v>
      </c>
      <c r="Z163" s="1" t="s">
        <v>1169</v>
      </c>
      <c r="AB163" s="1" t="s">
        <v>54</v>
      </c>
      <c r="AC163" s="1" t="s">
        <v>55</v>
      </c>
      <c r="AD163" s="1">
        <v>3.0</v>
      </c>
      <c r="AE163" s="1" t="s">
        <v>56</v>
      </c>
      <c r="AF163" s="1">
        <v>3.0</v>
      </c>
      <c r="AG163" s="1" t="s">
        <v>1460</v>
      </c>
      <c r="AH163" s="2">
        <v>43287.0</v>
      </c>
      <c r="AI163" s="1" t="s">
        <v>490</v>
      </c>
      <c r="AJ163" s="1">
        <v>34.0</v>
      </c>
      <c r="AK163" s="1">
        <v>37.0</v>
      </c>
      <c r="AL163" s="1">
        <v>4.0</v>
      </c>
      <c r="AM163" s="1" t="s">
        <v>58</v>
      </c>
    </row>
    <row r="164" ht="15.75" customHeight="1">
      <c r="A164" s="1" t="s">
        <v>1468</v>
      </c>
      <c r="B164" s="1" t="s">
        <v>41</v>
      </c>
      <c r="C164" s="1" t="s">
        <v>1469</v>
      </c>
      <c r="D164" s="2">
        <v>43287.0</v>
      </c>
      <c r="E164" s="1" t="s">
        <v>1470</v>
      </c>
      <c r="F164" s="1" t="s">
        <v>1471</v>
      </c>
      <c r="G164" s="1" t="s">
        <v>1472</v>
      </c>
      <c r="H164" s="1" t="s">
        <v>1473</v>
      </c>
      <c r="L164" s="1" t="s">
        <v>1474</v>
      </c>
      <c r="M164" s="1" t="s">
        <v>819</v>
      </c>
      <c r="N164" s="1">
        <v>3057.0</v>
      </c>
      <c r="O164" s="1" t="s">
        <v>49</v>
      </c>
      <c r="P164" s="1">
        <v>4.7538359E8</v>
      </c>
      <c r="Q164" s="1" t="str">
        <f>"475383590"</f>
        <v>475383590</v>
      </c>
      <c r="S164" s="1" t="str">
        <f t="shared" si="44"/>
        <v/>
      </c>
      <c r="U164" s="1" t="str">
        <f t="shared" si="45"/>
        <v/>
      </c>
      <c r="V164" s="1" t="s">
        <v>1475</v>
      </c>
      <c r="W164" s="1" t="s">
        <v>51</v>
      </c>
      <c r="Y164" s="1" t="s">
        <v>52</v>
      </c>
      <c r="Z164" s="1" t="s">
        <v>1476</v>
      </c>
      <c r="AB164" s="1" t="s">
        <v>54</v>
      </c>
      <c r="AC164" s="1" t="s">
        <v>55</v>
      </c>
      <c r="AD164" s="1">
        <v>3.0</v>
      </c>
      <c r="AE164" s="1" t="s">
        <v>56</v>
      </c>
      <c r="AF164" s="1">
        <v>3.0</v>
      </c>
      <c r="AG164" s="1" t="s">
        <v>1469</v>
      </c>
      <c r="AH164" s="2">
        <v>43287.0</v>
      </c>
      <c r="AI164" s="1" t="s">
        <v>96</v>
      </c>
      <c r="AJ164" s="1">
        <v>5.0</v>
      </c>
      <c r="AK164" s="1">
        <v>5.0</v>
      </c>
      <c r="AL164" s="1">
        <v>1.0</v>
      </c>
      <c r="AM164" s="1" t="s">
        <v>58</v>
      </c>
    </row>
    <row r="165" ht="15.75" customHeight="1">
      <c r="A165" s="1" t="s">
        <v>1477</v>
      </c>
      <c r="B165" s="1" t="s">
        <v>41</v>
      </c>
      <c r="C165" s="1" t="s">
        <v>1478</v>
      </c>
      <c r="D165" s="2">
        <v>43287.0</v>
      </c>
      <c r="E165" s="1" t="s">
        <v>1479</v>
      </c>
      <c r="F165" s="1" t="s">
        <v>1480</v>
      </c>
      <c r="G165" s="1" t="s">
        <v>1037</v>
      </c>
      <c r="H165" s="1" t="s">
        <v>1481</v>
      </c>
      <c r="L165" s="1" t="s">
        <v>1482</v>
      </c>
      <c r="M165" s="1" t="s">
        <v>667</v>
      </c>
      <c r="N165" s="1">
        <v>3033.0</v>
      </c>
      <c r="O165" s="1" t="s">
        <v>49</v>
      </c>
      <c r="P165" s="1">
        <v>4.218853E8</v>
      </c>
      <c r="Q165" s="1" t="str">
        <f>"421885300"</f>
        <v>421885300</v>
      </c>
      <c r="S165" s="1" t="str">
        <f t="shared" si="44"/>
        <v/>
      </c>
      <c r="T165" s="1">
        <v>4.218853E8</v>
      </c>
      <c r="U165" s="1" t="str">
        <f>"0421885300"</f>
        <v>0421885300</v>
      </c>
      <c r="V165" s="1" t="s">
        <v>1483</v>
      </c>
      <c r="W165" s="1" t="s">
        <v>51</v>
      </c>
      <c r="Y165" s="1" t="s">
        <v>52</v>
      </c>
      <c r="Z165" s="1" t="s">
        <v>1484</v>
      </c>
      <c r="AB165" s="1" t="s">
        <v>54</v>
      </c>
      <c r="AC165" s="1" t="s">
        <v>55</v>
      </c>
      <c r="AD165" s="1">
        <v>2.0</v>
      </c>
      <c r="AE165" s="1" t="s">
        <v>56</v>
      </c>
      <c r="AF165" s="1">
        <v>2.0</v>
      </c>
      <c r="AG165" s="1" t="s">
        <v>1478</v>
      </c>
      <c r="AH165" s="2">
        <v>43287.0</v>
      </c>
      <c r="AI165" s="1" t="s">
        <v>85</v>
      </c>
      <c r="AJ165" s="1">
        <v>9.0</v>
      </c>
      <c r="AK165" s="1">
        <v>10.0</v>
      </c>
      <c r="AL165" s="1">
        <v>2.0</v>
      </c>
      <c r="AM165" s="1" t="s">
        <v>58</v>
      </c>
    </row>
    <row r="166" ht="15.75" customHeight="1">
      <c r="A166" s="1" t="s">
        <v>1485</v>
      </c>
      <c r="B166" s="1" t="s">
        <v>41</v>
      </c>
      <c r="C166" s="1" t="s">
        <v>1486</v>
      </c>
      <c r="D166" s="2">
        <v>43287.0</v>
      </c>
      <c r="E166" s="1" t="s">
        <v>1487</v>
      </c>
      <c r="F166" s="1" t="s">
        <v>1488</v>
      </c>
      <c r="G166" s="1" t="s">
        <v>1489</v>
      </c>
      <c r="H166" s="1" t="s">
        <v>1490</v>
      </c>
      <c r="L166" s="1" t="s">
        <v>1491</v>
      </c>
      <c r="M166" s="1" t="s">
        <v>579</v>
      </c>
      <c r="N166" s="1">
        <v>3046.0</v>
      </c>
      <c r="O166" s="1" t="s">
        <v>49</v>
      </c>
      <c r="P166" s="1">
        <v>4.30985432E8</v>
      </c>
      <c r="Q166" s="1" t="str">
        <f>"430985432"</f>
        <v>430985432</v>
      </c>
      <c r="S166" s="1" t="str">
        <f t="shared" si="44"/>
        <v/>
      </c>
      <c r="T166" s="1">
        <v>4.09952016E8</v>
      </c>
      <c r="U166" s="1" t="str">
        <f>"0409952016"</f>
        <v>0409952016</v>
      </c>
      <c r="V166" s="1" t="s">
        <v>1492</v>
      </c>
      <c r="W166" s="1" t="s">
        <v>51</v>
      </c>
      <c r="Y166" s="1" t="s">
        <v>52</v>
      </c>
      <c r="Z166" s="1" t="s">
        <v>1493</v>
      </c>
      <c r="AB166" s="1" t="s">
        <v>54</v>
      </c>
      <c r="AC166" s="1" t="s">
        <v>55</v>
      </c>
      <c r="AD166" s="1">
        <v>4.0</v>
      </c>
      <c r="AE166" s="1" t="s">
        <v>180</v>
      </c>
      <c r="AF166" s="1">
        <v>4.0</v>
      </c>
      <c r="AG166" s="1" t="s">
        <v>1486</v>
      </c>
      <c r="AH166" s="2">
        <v>43287.0</v>
      </c>
      <c r="AI166" s="1" t="s">
        <v>1024</v>
      </c>
      <c r="AJ166" s="1">
        <v>28.0</v>
      </c>
      <c r="AK166" s="1">
        <v>34.0</v>
      </c>
      <c r="AL166" s="1">
        <v>7.0</v>
      </c>
      <c r="AM166" s="1" t="s">
        <v>58</v>
      </c>
    </row>
    <row r="167" ht="15.75" customHeight="1">
      <c r="A167" s="1" t="s">
        <v>1494</v>
      </c>
      <c r="B167" s="1" t="s">
        <v>41</v>
      </c>
      <c r="C167" s="1" t="s">
        <v>1495</v>
      </c>
      <c r="D167" s="2">
        <v>43288.0</v>
      </c>
      <c r="E167" s="1" t="s">
        <v>1496</v>
      </c>
      <c r="F167" s="1" t="s">
        <v>1497</v>
      </c>
      <c r="G167" s="1" t="s">
        <v>1498</v>
      </c>
      <c r="H167" s="1" t="s">
        <v>1499</v>
      </c>
      <c r="L167" s="1" t="s">
        <v>1500</v>
      </c>
      <c r="M167" s="1" t="s">
        <v>1501</v>
      </c>
      <c r="N167" s="1">
        <v>3046.0</v>
      </c>
      <c r="O167" s="1" t="s">
        <v>49</v>
      </c>
      <c r="P167" s="1">
        <v>4.01085296E8</v>
      </c>
      <c r="Q167" s="1" t="str">
        <f>"401085296"</f>
        <v>401085296</v>
      </c>
      <c r="S167" s="1" t="str">
        <f t="shared" si="44"/>
        <v/>
      </c>
      <c r="U167" s="1" t="str">
        <f>""</f>
        <v/>
      </c>
      <c r="V167" s="1" t="s">
        <v>1502</v>
      </c>
      <c r="W167" s="1" t="s">
        <v>51</v>
      </c>
      <c r="Y167" s="1" t="s">
        <v>52</v>
      </c>
      <c r="Z167" s="1" t="s">
        <v>1503</v>
      </c>
      <c r="AB167" s="1" t="s">
        <v>54</v>
      </c>
      <c r="AC167" s="1" t="s">
        <v>55</v>
      </c>
      <c r="AD167" s="1">
        <v>4.0</v>
      </c>
      <c r="AE167" s="1" t="s">
        <v>180</v>
      </c>
      <c r="AF167" s="1">
        <v>4.0</v>
      </c>
      <c r="AG167" s="1" t="s">
        <v>1495</v>
      </c>
      <c r="AH167" s="2">
        <v>43288.0</v>
      </c>
      <c r="AI167" s="1" t="s">
        <v>85</v>
      </c>
      <c r="AJ167" s="1">
        <v>4.0</v>
      </c>
      <c r="AK167" s="1">
        <v>5.0</v>
      </c>
      <c r="AL167" s="1">
        <v>2.0</v>
      </c>
      <c r="AM167" s="1" t="s">
        <v>58</v>
      </c>
    </row>
    <row r="168" ht="15.75" customHeight="1">
      <c r="A168" s="1" t="s">
        <v>1504</v>
      </c>
      <c r="B168" s="1" t="s">
        <v>41</v>
      </c>
      <c r="C168" s="1" t="s">
        <v>1505</v>
      </c>
      <c r="D168" s="2">
        <v>43288.0</v>
      </c>
      <c r="E168" s="1" t="s">
        <v>1506</v>
      </c>
      <c r="F168" s="1" t="s">
        <v>1507</v>
      </c>
      <c r="G168" s="1" t="s">
        <v>1508</v>
      </c>
      <c r="H168" s="1" t="s">
        <v>1509</v>
      </c>
      <c r="L168" s="1" t="s">
        <v>1510</v>
      </c>
      <c r="M168" s="1" t="s">
        <v>529</v>
      </c>
      <c r="N168" s="1">
        <v>3166.0</v>
      </c>
      <c r="O168" s="1" t="s">
        <v>49</v>
      </c>
      <c r="P168" s="1">
        <v>4.1609347E8</v>
      </c>
      <c r="Q168" s="1" t="str">
        <f>"416093470"</f>
        <v>416093470</v>
      </c>
      <c r="S168" s="1" t="str">
        <f t="shared" si="44"/>
        <v/>
      </c>
      <c r="T168" s="1">
        <v>4.1609347E8</v>
      </c>
      <c r="U168" s="1" t="str">
        <f>"0416093470"</f>
        <v>0416093470</v>
      </c>
      <c r="V168" s="1" t="s">
        <v>1511</v>
      </c>
      <c r="W168" s="1" t="s">
        <v>51</v>
      </c>
      <c r="Y168" s="1" t="s">
        <v>52</v>
      </c>
      <c r="Z168" s="1" t="s">
        <v>1512</v>
      </c>
      <c r="AB168" s="1" t="s">
        <v>54</v>
      </c>
      <c r="AC168" s="1" t="s">
        <v>55</v>
      </c>
      <c r="AD168" s="1">
        <v>2.0</v>
      </c>
      <c r="AE168" s="1" t="s">
        <v>56</v>
      </c>
      <c r="AF168" s="1">
        <v>2.0</v>
      </c>
      <c r="AG168" s="1" t="s">
        <v>1505</v>
      </c>
      <c r="AH168" s="2">
        <v>43288.0</v>
      </c>
      <c r="AI168" s="1" t="s">
        <v>72</v>
      </c>
      <c r="AJ168" s="1">
        <v>9.0</v>
      </c>
      <c r="AK168" s="1">
        <v>11.0</v>
      </c>
      <c r="AL168" s="1">
        <v>3.0</v>
      </c>
      <c r="AM168" s="1" t="s">
        <v>58</v>
      </c>
    </row>
    <row r="169" ht="15.75" customHeight="1">
      <c r="A169" s="1" t="s">
        <v>1513</v>
      </c>
      <c r="B169" s="1" t="s">
        <v>41</v>
      </c>
      <c r="C169" s="1" t="s">
        <v>1514</v>
      </c>
      <c r="D169" s="2">
        <v>43288.0</v>
      </c>
      <c r="E169" s="1" t="s">
        <v>1515</v>
      </c>
      <c r="F169" s="1" t="s">
        <v>1516</v>
      </c>
      <c r="G169" s="1" t="s">
        <v>1517</v>
      </c>
      <c r="H169" s="1" t="s">
        <v>1304</v>
      </c>
      <c r="L169" s="1" t="s">
        <v>1518</v>
      </c>
      <c r="M169" s="1" t="s">
        <v>914</v>
      </c>
      <c r="N169" s="1">
        <v>3178.0</v>
      </c>
      <c r="O169" s="1" t="s">
        <v>49</v>
      </c>
      <c r="P169" s="1">
        <v>4.00964022E8</v>
      </c>
      <c r="Q169" s="1" t="str">
        <f>"400964022"</f>
        <v>400964022</v>
      </c>
      <c r="S169" s="1" t="str">
        <f t="shared" si="44"/>
        <v/>
      </c>
      <c r="U169" s="1" t="str">
        <f t="shared" ref="U169:U177" si="46">""</f>
        <v/>
      </c>
      <c r="V169" s="1" t="s">
        <v>1519</v>
      </c>
      <c r="W169" s="1" t="s">
        <v>70</v>
      </c>
      <c r="Y169" s="1" t="s">
        <v>115</v>
      </c>
      <c r="Z169" s="1" t="s">
        <v>1520</v>
      </c>
      <c r="AB169" s="1" t="s">
        <v>54</v>
      </c>
      <c r="AC169" s="1" t="s">
        <v>55</v>
      </c>
      <c r="AD169" s="1">
        <v>4.0</v>
      </c>
      <c r="AE169" s="1" t="s">
        <v>180</v>
      </c>
      <c r="AF169" s="1">
        <v>4.0</v>
      </c>
      <c r="AG169" s="1" t="s">
        <v>1514</v>
      </c>
      <c r="AH169" s="2">
        <v>43288.0</v>
      </c>
      <c r="AI169" s="1" t="s">
        <v>85</v>
      </c>
      <c r="AJ169" s="1">
        <v>6.0</v>
      </c>
      <c r="AK169" s="1">
        <v>7.0</v>
      </c>
      <c r="AL169" s="1">
        <v>2.0</v>
      </c>
      <c r="AM169" s="1" t="s">
        <v>58</v>
      </c>
    </row>
    <row r="170" ht="15.75" customHeight="1">
      <c r="A170" s="1" t="s">
        <v>1521</v>
      </c>
      <c r="B170" s="1" t="s">
        <v>41</v>
      </c>
      <c r="C170" s="1" t="s">
        <v>1522</v>
      </c>
      <c r="D170" s="2">
        <v>43288.0</v>
      </c>
      <c r="E170" s="1" t="s">
        <v>1523</v>
      </c>
      <c r="F170" s="1" t="s">
        <v>1524</v>
      </c>
      <c r="G170" s="1" t="s">
        <v>1525</v>
      </c>
      <c r="H170" s="1" t="s">
        <v>687</v>
      </c>
      <c r="L170" s="1" t="s">
        <v>1526</v>
      </c>
      <c r="M170" s="1" t="s">
        <v>1527</v>
      </c>
      <c r="N170" s="1">
        <v>3073.0</v>
      </c>
      <c r="O170" s="1" t="s">
        <v>49</v>
      </c>
      <c r="P170" s="1">
        <v>4.13878014E8</v>
      </c>
      <c r="Q170" s="1" t="str">
        <f>"0413878014"</f>
        <v>0413878014</v>
      </c>
      <c r="S170" s="1" t="str">
        <f t="shared" si="44"/>
        <v/>
      </c>
      <c r="U170" s="1" t="str">
        <f t="shared" si="46"/>
        <v/>
      </c>
      <c r="V170" s="1" t="s">
        <v>1528</v>
      </c>
      <c r="W170" s="1" t="s">
        <v>70</v>
      </c>
      <c r="Y170" s="1" t="s">
        <v>1168</v>
      </c>
      <c r="Z170" s="1" t="s">
        <v>1169</v>
      </c>
      <c r="AB170" s="1" t="s">
        <v>54</v>
      </c>
      <c r="AC170" s="1" t="s">
        <v>55</v>
      </c>
      <c r="AD170" s="1">
        <v>4.0</v>
      </c>
      <c r="AE170" s="1" t="s">
        <v>180</v>
      </c>
      <c r="AF170" s="1">
        <v>4.0</v>
      </c>
      <c r="AG170" s="1" t="s">
        <v>1522</v>
      </c>
      <c r="AH170" s="2">
        <v>43288.0</v>
      </c>
      <c r="AI170" s="1" t="s">
        <v>1024</v>
      </c>
      <c r="AJ170" s="1">
        <v>2.0</v>
      </c>
      <c r="AK170" s="1">
        <v>5.0</v>
      </c>
      <c r="AL170" s="1">
        <v>4.0</v>
      </c>
      <c r="AM170" s="1" t="s">
        <v>58</v>
      </c>
    </row>
    <row r="171" ht="15.75" customHeight="1">
      <c r="A171" s="1" t="s">
        <v>1529</v>
      </c>
      <c r="B171" s="1" t="s">
        <v>41</v>
      </c>
      <c r="C171" s="1" t="s">
        <v>1530</v>
      </c>
      <c r="D171" s="2">
        <v>43288.0</v>
      </c>
      <c r="E171" s="1" t="s">
        <v>1531</v>
      </c>
      <c r="F171" s="1" t="s">
        <v>1532</v>
      </c>
      <c r="G171" s="1" t="s">
        <v>1533</v>
      </c>
      <c r="H171" s="1" t="s">
        <v>1534</v>
      </c>
      <c r="L171" s="1" t="s">
        <v>1535</v>
      </c>
      <c r="M171" s="1" t="s">
        <v>698</v>
      </c>
      <c r="N171" s="1">
        <v>3204.0</v>
      </c>
      <c r="O171" s="1" t="s">
        <v>49</v>
      </c>
      <c r="P171" s="1">
        <v>4.34414701E8</v>
      </c>
      <c r="Q171" s="1" t="str">
        <f>"434414701"</f>
        <v>434414701</v>
      </c>
      <c r="S171" s="1" t="str">
        <f t="shared" si="44"/>
        <v/>
      </c>
      <c r="U171" s="1" t="str">
        <f t="shared" si="46"/>
        <v/>
      </c>
      <c r="V171" s="1" t="s">
        <v>1536</v>
      </c>
      <c r="W171" s="1" t="s">
        <v>70</v>
      </c>
      <c r="Y171" s="1" t="s">
        <v>52</v>
      </c>
      <c r="Z171" s="1" t="s">
        <v>1537</v>
      </c>
      <c r="AB171" s="1" t="s">
        <v>54</v>
      </c>
      <c r="AC171" s="1" t="s">
        <v>55</v>
      </c>
      <c r="AD171" s="1">
        <v>3.0</v>
      </c>
      <c r="AE171" s="1" t="s">
        <v>56</v>
      </c>
      <c r="AF171" s="1">
        <v>3.0</v>
      </c>
      <c r="AG171" s="1" t="s">
        <v>1530</v>
      </c>
      <c r="AH171" s="2">
        <v>43288.0</v>
      </c>
      <c r="AI171" s="1" t="s">
        <v>1078</v>
      </c>
      <c r="AJ171" s="1">
        <v>10.0</v>
      </c>
      <c r="AK171" s="1">
        <v>11.0</v>
      </c>
      <c r="AL171" s="1">
        <v>2.0</v>
      </c>
      <c r="AM171" s="1" t="s">
        <v>58</v>
      </c>
    </row>
    <row r="172" ht="15.75" customHeight="1">
      <c r="A172" s="1" t="s">
        <v>1538</v>
      </c>
      <c r="B172" s="1" t="s">
        <v>41</v>
      </c>
      <c r="C172" s="1" t="s">
        <v>1539</v>
      </c>
      <c r="D172" s="2">
        <v>43288.0</v>
      </c>
      <c r="E172" s="1" t="s">
        <v>1540</v>
      </c>
      <c r="F172" s="1" t="s">
        <v>1541</v>
      </c>
      <c r="G172" s="1" t="s">
        <v>1542</v>
      </c>
      <c r="H172" s="1" t="s">
        <v>1543</v>
      </c>
      <c r="L172" s="1" t="s">
        <v>1544</v>
      </c>
      <c r="M172" s="1" t="s">
        <v>378</v>
      </c>
      <c r="N172" s="1">
        <v>3101.0</v>
      </c>
      <c r="O172" s="1" t="s">
        <v>49</v>
      </c>
      <c r="P172" s="1">
        <v>4.12020973E8</v>
      </c>
      <c r="Q172" s="1" t="str">
        <f>"412020973"</f>
        <v>412020973</v>
      </c>
      <c r="S172" s="1" t="str">
        <f t="shared" si="44"/>
        <v/>
      </c>
      <c r="U172" s="1" t="str">
        <f t="shared" si="46"/>
        <v/>
      </c>
      <c r="V172" s="1" t="s">
        <v>1545</v>
      </c>
      <c r="W172" s="1" t="s">
        <v>70</v>
      </c>
      <c r="Y172" s="1" t="s">
        <v>115</v>
      </c>
      <c r="Z172" s="1" t="s">
        <v>1546</v>
      </c>
      <c r="AB172" s="1" t="s">
        <v>54</v>
      </c>
      <c r="AC172" s="1" t="s">
        <v>55</v>
      </c>
      <c r="AD172" s="1">
        <v>3.0</v>
      </c>
      <c r="AE172" s="1" t="s">
        <v>56</v>
      </c>
      <c r="AF172" s="1">
        <v>3.0</v>
      </c>
      <c r="AG172" s="1" t="s">
        <v>1539</v>
      </c>
      <c r="AH172" s="2">
        <v>43288.0</v>
      </c>
      <c r="AI172" s="1" t="s">
        <v>1149</v>
      </c>
      <c r="AJ172" s="1">
        <v>22.0</v>
      </c>
      <c r="AK172" s="1">
        <v>23.0</v>
      </c>
      <c r="AL172" s="1">
        <v>2.0</v>
      </c>
      <c r="AM172" s="1" t="s">
        <v>58</v>
      </c>
    </row>
    <row r="173" ht="15.75" customHeight="1">
      <c r="A173" s="1" t="s">
        <v>1547</v>
      </c>
      <c r="B173" s="1" t="s">
        <v>41</v>
      </c>
      <c r="C173" s="1" t="s">
        <v>1548</v>
      </c>
      <c r="D173" s="2">
        <v>43289.0</v>
      </c>
      <c r="E173" s="1" t="s">
        <v>1419</v>
      </c>
      <c r="F173" s="1" t="s">
        <v>1420</v>
      </c>
      <c r="G173" s="1" t="s">
        <v>1421</v>
      </c>
      <c r="H173" s="1" t="s">
        <v>1422</v>
      </c>
      <c r="J173" s="1" t="s">
        <v>1423</v>
      </c>
      <c r="K173" s="1">
        <v>21.0</v>
      </c>
      <c r="L173" s="1" t="s">
        <v>1549</v>
      </c>
      <c r="M173" s="1" t="s">
        <v>1550</v>
      </c>
      <c r="N173" s="1">
        <v>16000.0</v>
      </c>
      <c r="O173" s="1" t="s">
        <v>1426</v>
      </c>
      <c r="P173" s="1">
        <v>4.20773183E9</v>
      </c>
      <c r="Q173" s="1" t="str">
        <f>"4207731830"</f>
        <v>4207731830</v>
      </c>
      <c r="R173" s="1">
        <v>21.0</v>
      </c>
      <c r="S173" s="1" t="str">
        <f>"21"</f>
        <v>21</v>
      </c>
      <c r="U173" s="1" t="str">
        <f t="shared" si="46"/>
        <v/>
      </c>
      <c r="V173" s="1" t="s">
        <v>1427</v>
      </c>
      <c r="W173" s="1" t="s">
        <v>70</v>
      </c>
      <c r="X173" s="1" t="s">
        <v>1551</v>
      </c>
      <c r="Y173" s="1" t="s">
        <v>52</v>
      </c>
      <c r="Z173" s="1" t="s">
        <v>1552</v>
      </c>
      <c r="AB173" s="1" t="s">
        <v>54</v>
      </c>
      <c r="AC173" s="1" t="s">
        <v>55</v>
      </c>
      <c r="AD173" s="1">
        <v>4.0</v>
      </c>
      <c r="AE173" s="1" t="s">
        <v>180</v>
      </c>
      <c r="AF173" s="1">
        <v>4.0</v>
      </c>
      <c r="AG173" s="1" t="s">
        <v>1548</v>
      </c>
      <c r="AH173" s="2">
        <v>43289.0</v>
      </c>
      <c r="AI173" s="1" t="s">
        <v>1024</v>
      </c>
      <c r="AJ173" s="1">
        <v>6.0</v>
      </c>
      <c r="AK173" s="1">
        <v>9.0</v>
      </c>
      <c r="AL173" s="1">
        <v>4.0</v>
      </c>
      <c r="AM173" s="1" t="s">
        <v>58</v>
      </c>
    </row>
    <row r="174" ht="15.75" customHeight="1">
      <c r="A174" s="1" t="s">
        <v>1553</v>
      </c>
      <c r="B174" s="1" t="s">
        <v>41</v>
      </c>
      <c r="C174" s="1" t="s">
        <v>1554</v>
      </c>
      <c r="D174" s="2">
        <v>43289.0</v>
      </c>
      <c r="E174" s="1" t="s">
        <v>1555</v>
      </c>
      <c r="F174" s="1" t="s">
        <v>1556</v>
      </c>
      <c r="G174" s="1" t="s">
        <v>1557</v>
      </c>
      <c r="H174" s="1" t="s">
        <v>1155</v>
      </c>
      <c r="L174" s="1" t="s">
        <v>1558</v>
      </c>
      <c r="M174" s="1" t="s">
        <v>1559</v>
      </c>
      <c r="N174" s="1">
        <v>3166.0</v>
      </c>
      <c r="O174" s="1" t="s">
        <v>49</v>
      </c>
      <c r="P174" s="1">
        <v>4.26991212E8</v>
      </c>
      <c r="Q174" s="1" t="str">
        <f>"426991212"</f>
        <v>426991212</v>
      </c>
      <c r="S174" s="1" t="str">
        <f t="shared" ref="S174:S177" si="47">""</f>
        <v/>
      </c>
      <c r="U174" s="1" t="str">
        <f t="shared" si="46"/>
        <v/>
      </c>
      <c r="V174" s="1" t="s">
        <v>1560</v>
      </c>
      <c r="W174" s="1" t="s">
        <v>70</v>
      </c>
      <c r="Y174" s="1" t="s">
        <v>115</v>
      </c>
      <c r="Z174" s="1" t="s">
        <v>1561</v>
      </c>
      <c r="AB174" s="1" t="s">
        <v>54</v>
      </c>
      <c r="AC174" s="1" t="s">
        <v>55</v>
      </c>
      <c r="AD174" s="1">
        <v>4.0</v>
      </c>
      <c r="AE174" s="1" t="s">
        <v>180</v>
      </c>
      <c r="AF174" s="1">
        <v>4.0</v>
      </c>
      <c r="AG174" s="1" t="s">
        <v>1554</v>
      </c>
      <c r="AH174" s="2">
        <v>43289.0</v>
      </c>
      <c r="AI174" s="1" t="s">
        <v>1298</v>
      </c>
      <c r="AJ174" s="1">
        <v>19.0</v>
      </c>
      <c r="AK174" s="1">
        <v>20.0</v>
      </c>
      <c r="AL174" s="1">
        <v>2.0</v>
      </c>
      <c r="AM174" s="1" t="s">
        <v>58</v>
      </c>
    </row>
    <row r="175" ht="15.75" customHeight="1">
      <c r="A175" s="1" t="s">
        <v>1562</v>
      </c>
      <c r="B175" s="1" t="s">
        <v>41</v>
      </c>
      <c r="C175" s="1" t="s">
        <v>1563</v>
      </c>
      <c r="D175" s="2">
        <v>43289.0</v>
      </c>
      <c r="E175" s="1" t="s">
        <v>1564</v>
      </c>
      <c r="F175" s="1" t="s">
        <v>1565</v>
      </c>
      <c r="G175" s="1" t="s">
        <v>1566</v>
      </c>
      <c r="H175" s="1" t="s">
        <v>1164</v>
      </c>
      <c r="L175" s="1" t="s">
        <v>1567</v>
      </c>
      <c r="M175" s="1" t="s">
        <v>1568</v>
      </c>
      <c r="N175" s="1">
        <v>3204.0</v>
      </c>
      <c r="O175" s="1" t="s">
        <v>49</v>
      </c>
      <c r="P175" s="1">
        <v>4.31437786E8</v>
      </c>
      <c r="Q175" s="1" t="str">
        <f>"431437786"</f>
        <v>431437786</v>
      </c>
      <c r="S175" s="1" t="str">
        <f t="shared" si="47"/>
        <v/>
      </c>
      <c r="U175" s="1" t="str">
        <f t="shared" si="46"/>
        <v/>
      </c>
      <c r="V175" s="1" t="s">
        <v>1569</v>
      </c>
      <c r="W175" s="1" t="s">
        <v>51</v>
      </c>
      <c r="X175" s="1" t="s">
        <v>230</v>
      </c>
      <c r="Y175" s="1" t="s">
        <v>52</v>
      </c>
      <c r="Z175" s="1" t="s">
        <v>1570</v>
      </c>
      <c r="AB175" s="1" t="s">
        <v>54</v>
      </c>
      <c r="AC175" s="1" t="s">
        <v>55</v>
      </c>
      <c r="AD175" s="1">
        <v>3.0</v>
      </c>
      <c r="AE175" s="1" t="s">
        <v>56</v>
      </c>
      <c r="AF175" s="1">
        <v>3.0</v>
      </c>
      <c r="AG175" s="1" t="s">
        <v>1563</v>
      </c>
      <c r="AH175" s="2">
        <v>43289.0</v>
      </c>
      <c r="AI175" s="1" t="s">
        <v>1149</v>
      </c>
      <c r="AJ175" s="1">
        <v>10.0</v>
      </c>
      <c r="AK175" s="1">
        <v>11.0</v>
      </c>
      <c r="AL175" s="1">
        <v>2.0</v>
      </c>
      <c r="AM175" s="1" t="s">
        <v>58</v>
      </c>
    </row>
    <row r="176" ht="15.75" customHeight="1">
      <c r="A176" s="1" t="s">
        <v>1571</v>
      </c>
      <c r="B176" s="1" t="s">
        <v>41</v>
      </c>
      <c r="C176" s="1" t="s">
        <v>958</v>
      </c>
      <c r="D176" s="2">
        <v>43289.0</v>
      </c>
      <c r="E176" s="1" t="s">
        <v>1572</v>
      </c>
      <c r="F176" s="1" t="s">
        <v>1573</v>
      </c>
      <c r="G176" s="1" t="s">
        <v>1574</v>
      </c>
      <c r="H176" s="1" t="s">
        <v>1575</v>
      </c>
      <c r="L176" s="1" t="s">
        <v>1576</v>
      </c>
      <c r="M176" s="1" t="s">
        <v>146</v>
      </c>
      <c r="N176" s="1">
        <v>3106.0</v>
      </c>
      <c r="O176" s="1" t="s">
        <v>49</v>
      </c>
      <c r="P176" s="1">
        <v>4.33170515E8</v>
      </c>
      <c r="Q176" s="1" t="str">
        <f>"433170515"</f>
        <v>433170515</v>
      </c>
      <c r="S176" s="1" t="str">
        <f t="shared" si="47"/>
        <v/>
      </c>
      <c r="U176" s="1" t="str">
        <f t="shared" si="46"/>
        <v/>
      </c>
      <c r="V176" s="1" t="s">
        <v>1577</v>
      </c>
      <c r="W176" s="1" t="s">
        <v>51</v>
      </c>
      <c r="Y176" s="1" t="s">
        <v>115</v>
      </c>
      <c r="Z176" s="1" t="s">
        <v>1578</v>
      </c>
      <c r="AB176" s="1" t="s">
        <v>54</v>
      </c>
      <c r="AC176" s="1" t="s">
        <v>55</v>
      </c>
      <c r="AD176" s="1">
        <v>5.0</v>
      </c>
      <c r="AE176" s="1" t="s">
        <v>180</v>
      </c>
      <c r="AF176" s="1">
        <v>4.0</v>
      </c>
      <c r="AG176" s="1" t="s">
        <v>958</v>
      </c>
      <c r="AH176" s="2">
        <v>43289.0</v>
      </c>
      <c r="AI176" s="1" t="s">
        <v>631</v>
      </c>
      <c r="AJ176" s="1">
        <v>19.0</v>
      </c>
      <c r="AK176" s="1">
        <v>21.0</v>
      </c>
      <c r="AL176" s="1">
        <v>3.0</v>
      </c>
      <c r="AM176" s="1" t="s">
        <v>58</v>
      </c>
    </row>
    <row r="177" ht="15.75" customHeight="1">
      <c r="A177" s="1" t="s">
        <v>1579</v>
      </c>
      <c r="B177" s="1" t="s">
        <v>41</v>
      </c>
      <c r="C177" s="1" t="s">
        <v>1580</v>
      </c>
      <c r="D177" s="2">
        <v>43289.0</v>
      </c>
      <c r="E177" s="1" t="s">
        <v>1581</v>
      </c>
      <c r="F177" s="1" t="s">
        <v>1582</v>
      </c>
      <c r="G177" s="1" t="s">
        <v>1583</v>
      </c>
      <c r="H177" s="1" t="s">
        <v>1584</v>
      </c>
      <c r="J177" s="1" t="s">
        <v>1585</v>
      </c>
      <c r="L177" s="1" t="s">
        <v>1586</v>
      </c>
      <c r="M177" s="1" t="s">
        <v>1587</v>
      </c>
      <c r="N177" s="1">
        <v>3093.0</v>
      </c>
      <c r="O177" s="1" t="s">
        <v>49</v>
      </c>
      <c r="P177" s="1">
        <v>4.35784273E8</v>
      </c>
      <c r="Q177" s="1" t="str">
        <f>"0435784273"</f>
        <v>0435784273</v>
      </c>
      <c r="S177" s="1" t="str">
        <f t="shared" si="47"/>
        <v/>
      </c>
      <c r="U177" s="1" t="str">
        <f t="shared" si="46"/>
        <v/>
      </c>
      <c r="V177" s="1" t="s">
        <v>1588</v>
      </c>
      <c r="W177" s="1" t="s">
        <v>70</v>
      </c>
      <c r="Y177" s="1" t="s">
        <v>1168</v>
      </c>
      <c r="Z177" s="1" t="s">
        <v>1589</v>
      </c>
      <c r="AB177" s="1" t="s">
        <v>54</v>
      </c>
      <c r="AC177" s="1" t="s">
        <v>55</v>
      </c>
      <c r="AD177" s="1">
        <v>3.0</v>
      </c>
      <c r="AE177" s="1" t="s">
        <v>56</v>
      </c>
      <c r="AF177" s="1">
        <v>3.0</v>
      </c>
      <c r="AG177" s="1" t="s">
        <v>1580</v>
      </c>
      <c r="AH177" s="2">
        <v>43289.0</v>
      </c>
      <c r="AI177" s="1" t="s">
        <v>490</v>
      </c>
      <c r="AJ177" s="1">
        <v>38.0</v>
      </c>
      <c r="AK177" s="1">
        <v>40.0</v>
      </c>
      <c r="AL177" s="1">
        <v>3.0</v>
      </c>
      <c r="AM177" s="1" t="s">
        <v>58</v>
      </c>
    </row>
    <row r="178" ht="15.75" customHeight="1">
      <c r="A178" s="1" t="s">
        <v>1590</v>
      </c>
      <c r="B178" s="1" t="s">
        <v>41</v>
      </c>
      <c r="C178" s="1" t="s">
        <v>1591</v>
      </c>
      <c r="D178" s="2">
        <v>43289.0</v>
      </c>
      <c r="E178" s="1" t="s">
        <v>1592</v>
      </c>
      <c r="F178" s="1" t="s">
        <v>1593</v>
      </c>
      <c r="G178" s="1" t="s">
        <v>1594</v>
      </c>
      <c r="H178" s="1" t="s">
        <v>1595</v>
      </c>
      <c r="L178" s="1" t="s">
        <v>1596</v>
      </c>
      <c r="M178" s="1" t="s">
        <v>113</v>
      </c>
      <c r="N178" s="1">
        <v>3124.0</v>
      </c>
      <c r="O178" s="1" t="s">
        <v>49</v>
      </c>
      <c r="P178" s="1">
        <v>6.142374888E9</v>
      </c>
      <c r="Q178" s="1" t="str">
        <f>"6142374888"</f>
        <v>6142374888</v>
      </c>
      <c r="R178" s="1">
        <v>0.0</v>
      </c>
      <c r="S178" s="1" t="str">
        <f>"0"</f>
        <v>0</v>
      </c>
      <c r="T178" s="1">
        <v>4.2374888E8</v>
      </c>
      <c r="U178" s="1" t="str">
        <f>"0423748880"</f>
        <v>0423748880</v>
      </c>
      <c r="V178" s="1" t="s">
        <v>1597</v>
      </c>
      <c r="W178" s="1" t="s">
        <v>51</v>
      </c>
      <c r="Y178" s="1" t="s">
        <v>52</v>
      </c>
      <c r="Z178" s="1" t="s">
        <v>1598</v>
      </c>
      <c r="AB178" s="1" t="s">
        <v>54</v>
      </c>
      <c r="AC178" s="1" t="s">
        <v>55</v>
      </c>
      <c r="AD178" s="1">
        <v>3.0</v>
      </c>
      <c r="AE178" s="1" t="s">
        <v>56</v>
      </c>
      <c r="AF178" s="1">
        <v>3.0</v>
      </c>
      <c r="AG178" s="1" t="s">
        <v>1591</v>
      </c>
      <c r="AH178" s="2">
        <v>43289.0</v>
      </c>
      <c r="AI178" s="1" t="s">
        <v>1149</v>
      </c>
      <c r="AJ178" s="1">
        <v>20.0</v>
      </c>
      <c r="AK178" s="1">
        <v>21.0</v>
      </c>
      <c r="AL178" s="1">
        <v>2.0</v>
      </c>
      <c r="AM178" s="1" t="s">
        <v>58</v>
      </c>
    </row>
    <row r="179" ht="15.75" customHeight="1">
      <c r="A179" s="1" t="s">
        <v>1599</v>
      </c>
      <c r="B179" s="1" t="s">
        <v>41</v>
      </c>
      <c r="C179" s="1" t="s">
        <v>1600</v>
      </c>
      <c r="D179" s="2">
        <v>43289.0</v>
      </c>
      <c r="E179" s="1" t="s">
        <v>1601</v>
      </c>
      <c r="F179" s="1" t="s">
        <v>1602</v>
      </c>
      <c r="G179" s="1" t="s">
        <v>1603</v>
      </c>
      <c r="H179" s="1" t="s">
        <v>1604</v>
      </c>
      <c r="L179" s="1" t="s">
        <v>1605</v>
      </c>
      <c r="M179" s="1" t="s">
        <v>208</v>
      </c>
      <c r="N179" s="1">
        <v>3128.0</v>
      </c>
      <c r="O179" s="1" t="s">
        <v>49</v>
      </c>
      <c r="P179" s="1">
        <v>4.100409E8</v>
      </c>
      <c r="Q179" s="1" t="str">
        <f>"410040900"</f>
        <v>410040900</v>
      </c>
      <c r="S179" s="1" t="str">
        <f t="shared" ref="S179:S182" si="48">""</f>
        <v/>
      </c>
      <c r="T179" s="1">
        <v>4.100409E8</v>
      </c>
      <c r="U179" s="1" t="str">
        <f>"0410040900"</f>
        <v>0410040900</v>
      </c>
      <c r="V179" s="1" t="s">
        <v>1606</v>
      </c>
      <c r="W179" s="1" t="s">
        <v>51</v>
      </c>
      <c r="Y179" s="1" t="s">
        <v>115</v>
      </c>
      <c r="Z179" s="1" t="s">
        <v>1607</v>
      </c>
      <c r="AB179" s="1" t="s">
        <v>54</v>
      </c>
      <c r="AC179" s="1" t="s">
        <v>55</v>
      </c>
      <c r="AD179" s="1">
        <v>2.0</v>
      </c>
      <c r="AE179" s="1" t="s">
        <v>56</v>
      </c>
      <c r="AF179" s="1">
        <v>2.0</v>
      </c>
      <c r="AG179" s="1" t="s">
        <v>1600</v>
      </c>
      <c r="AH179" s="2">
        <v>43289.0</v>
      </c>
      <c r="AI179" s="1" t="s">
        <v>72</v>
      </c>
      <c r="AJ179" s="1">
        <v>32.0</v>
      </c>
      <c r="AK179" s="1">
        <v>34.0</v>
      </c>
      <c r="AL179" s="1">
        <v>3.0</v>
      </c>
      <c r="AM179" s="1" t="s">
        <v>58</v>
      </c>
    </row>
    <row r="180" ht="15.75" customHeight="1">
      <c r="A180" s="1" t="s">
        <v>1608</v>
      </c>
      <c r="B180" s="1" t="s">
        <v>41</v>
      </c>
      <c r="C180" s="1" t="s">
        <v>1609</v>
      </c>
      <c r="D180" s="2">
        <v>43289.0</v>
      </c>
      <c r="E180" s="1" t="s">
        <v>1610</v>
      </c>
      <c r="F180" s="1" t="s">
        <v>1611</v>
      </c>
      <c r="G180" s="1" t="s">
        <v>1612</v>
      </c>
      <c r="H180" s="1" t="s">
        <v>1613</v>
      </c>
      <c r="L180" s="1" t="s">
        <v>1614</v>
      </c>
      <c r="M180" s="1" t="s">
        <v>1615</v>
      </c>
      <c r="N180" s="1">
        <v>3806.0</v>
      </c>
      <c r="O180" s="1" t="s">
        <v>49</v>
      </c>
      <c r="P180" s="1">
        <v>4.49949918E8</v>
      </c>
      <c r="Q180" s="1" t="str">
        <f>"449949918"</f>
        <v>449949918</v>
      </c>
      <c r="S180" s="1" t="str">
        <f t="shared" si="48"/>
        <v/>
      </c>
      <c r="T180" s="1">
        <v>4.49949918E8</v>
      </c>
      <c r="U180" s="1" t="str">
        <f>"0449949918"</f>
        <v>0449949918</v>
      </c>
      <c r="V180" s="1" t="s">
        <v>1616</v>
      </c>
      <c r="W180" s="1" t="s">
        <v>51</v>
      </c>
      <c r="Y180" s="1" t="s">
        <v>52</v>
      </c>
      <c r="Z180" s="1" t="s">
        <v>1617</v>
      </c>
      <c r="AB180" s="1" t="s">
        <v>54</v>
      </c>
      <c r="AC180" s="1" t="s">
        <v>55</v>
      </c>
      <c r="AD180" s="1">
        <v>4.0</v>
      </c>
      <c r="AE180" s="1" t="s">
        <v>180</v>
      </c>
      <c r="AF180" s="1">
        <v>4.0</v>
      </c>
      <c r="AG180" s="1" t="s">
        <v>1609</v>
      </c>
      <c r="AH180" s="2">
        <v>43289.0</v>
      </c>
      <c r="AI180" s="1" t="s">
        <v>1298</v>
      </c>
      <c r="AJ180" s="1">
        <v>13.0</v>
      </c>
      <c r="AK180" s="1">
        <v>16.0</v>
      </c>
      <c r="AL180" s="1">
        <v>4.0</v>
      </c>
      <c r="AM180" s="1" t="s">
        <v>58</v>
      </c>
    </row>
    <row r="181" ht="15.75" customHeight="1">
      <c r="A181" s="1" t="s">
        <v>1618</v>
      </c>
      <c r="B181" s="1" t="s">
        <v>41</v>
      </c>
      <c r="C181" s="1" t="s">
        <v>1619</v>
      </c>
      <c r="D181" s="2">
        <v>43289.0</v>
      </c>
      <c r="E181" s="1" t="s">
        <v>1620</v>
      </c>
      <c r="F181" s="1" t="s">
        <v>1621</v>
      </c>
      <c r="G181" s="1" t="s">
        <v>1622</v>
      </c>
      <c r="H181" s="1" t="s">
        <v>1623</v>
      </c>
      <c r="L181" s="1" t="s">
        <v>1624</v>
      </c>
      <c r="M181" s="1" t="s">
        <v>48</v>
      </c>
      <c r="N181" s="1">
        <v>3073.0</v>
      </c>
      <c r="O181" s="1" t="s">
        <v>49</v>
      </c>
      <c r="P181" s="1">
        <v>4.58252322E8</v>
      </c>
      <c r="Q181" s="1" t="str">
        <f>"458252322"</f>
        <v>458252322</v>
      </c>
      <c r="S181" s="1" t="str">
        <f t="shared" si="48"/>
        <v/>
      </c>
      <c r="T181" s="1">
        <v>4.58252322E8</v>
      </c>
      <c r="U181" s="1" t="str">
        <f>"0458252322"</f>
        <v>0458252322</v>
      </c>
      <c r="V181" s="1" t="s">
        <v>1625</v>
      </c>
      <c r="W181" s="1" t="s">
        <v>51</v>
      </c>
      <c r="Y181" s="1" t="s">
        <v>115</v>
      </c>
      <c r="Z181" s="1" t="s">
        <v>1626</v>
      </c>
      <c r="AB181" s="1" t="s">
        <v>54</v>
      </c>
      <c r="AC181" s="1" t="s">
        <v>55</v>
      </c>
      <c r="AD181" s="1">
        <v>3.0</v>
      </c>
      <c r="AE181" s="1" t="s">
        <v>56</v>
      </c>
      <c r="AF181" s="1">
        <v>3.0</v>
      </c>
      <c r="AG181" s="1" t="s">
        <v>1619</v>
      </c>
      <c r="AH181" s="2">
        <v>43289.0</v>
      </c>
      <c r="AI181" s="1" t="s">
        <v>1149</v>
      </c>
      <c r="AJ181" s="1">
        <v>24.0</v>
      </c>
      <c r="AK181" s="1">
        <v>25.0</v>
      </c>
      <c r="AL181" s="1">
        <v>2.0</v>
      </c>
      <c r="AM181" s="1" t="s">
        <v>58</v>
      </c>
    </row>
    <row r="182" ht="15.75" customHeight="1">
      <c r="A182" s="1" t="s">
        <v>1627</v>
      </c>
      <c r="B182" s="1" t="s">
        <v>41</v>
      </c>
      <c r="C182" s="1" t="s">
        <v>1628</v>
      </c>
      <c r="D182" s="2">
        <v>43290.0</v>
      </c>
      <c r="E182" s="1" t="s">
        <v>1629</v>
      </c>
      <c r="F182" s="1" t="s">
        <v>1630</v>
      </c>
      <c r="G182" s="1" t="s">
        <v>1631</v>
      </c>
      <c r="H182" s="1" t="s">
        <v>1632</v>
      </c>
      <c r="L182" s="1" t="s">
        <v>1633</v>
      </c>
      <c r="M182" s="1" t="s">
        <v>1634</v>
      </c>
      <c r="N182" s="1">
        <v>3170.0</v>
      </c>
      <c r="O182" s="1" t="s">
        <v>49</v>
      </c>
      <c r="P182" s="1">
        <v>4.06972831E8</v>
      </c>
      <c r="Q182" s="1" t="str">
        <f>"406972831"</f>
        <v>406972831</v>
      </c>
      <c r="S182" s="1" t="str">
        <f t="shared" si="48"/>
        <v/>
      </c>
      <c r="T182" s="1">
        <v>4.06972831E8</v>
      </c>
      <c r="U182" s="1" t="str">
        <f>"0406972831"</f>
        <v>0406972831</v>
      </c>
      <c r="V182" s="1" t="s">
        <v>1635</v>
      </c>
      <c r="W182" s="1" t="s">
        <v>51</v>
      </c>
      <c r="Y182" s="1" t="s">
        <v>115</v>
      </c>
      <c r="Z182" s="1" t="s">
        <v>1636</v>
      </c>
      <c r="AB182" s="1" t="s">
        <v>54</v>
      </c>
      <c r="AC182" s="1" t="s">
        <v>55</v>
      </c>
      <c r="AD182" s="1">
        <v>3.0</v>
      </c>
      <c r="AE182" s="1" t="s">
        <v>56</v>
      </c>
      <c r="AF182" s="1">
        <v>3.0</v>
      </c>
      <c r="AG182" s="1" t="s">
        <v>1628</v>
      </c>
      <c r="AH182" s="2">
        <v>43290.0</v>
      </c>
      <c r="AI182" s="1" t="s">
        <v>1078</v>
      </c>
      <c r="AJ182" s="1">
        <v>27.0</v>
      </c>
      <c r="AK182" s="1">
        <v>27.0</v>
      </c>
      <c r="AL182" s="1">
        <v>1.0</v>
      </c>
      <c r="AM182" s="1" t="s">
        <v>58</v>
      </c>
    </row>
    <row r="183" ht="15.75" customHeight="1">
      <c r="A183" s="1" t="s">
        <v>1637</v>
      </c>
      <c r="B183" s="1" t="s">
        <v>41</v>
      </c>
      <c r="C183" s="1" t="s">
        <v>1638</v>
      </c>
      <c r="D183" s="2">
        <v>43290.0</v>
      </c>
      <c r="E183" s="1" t="s">
        <v>1639</v>
      </c>
      <c r="F183" s="1" t="s">
        <v>1640</v>
      </c>
      <c r="G183" s="1" t="s">
        <v>1641</v>
      </c>
      <c r="H183" s="1" t="s">
        <v>1642</v>
      </c>
      <c r="K183" s="1" t="s">
        <v>85</v>
      </c>
      <c r="L183" s="1" t="s">
        <v>1643</v>
      </c>
      <c r="M183" s="1" t="s">
        <v>1644</v>
      </c>
      <c r="N183" s="1">
        <v>3006.0</v>
      </c>
      <c r="Q183" s="1" t="str">
        <f>""</f>
        <v/>
      </c>
      <c r="R183" s="1">
        <v>4.1643636E8</v>
      </c>
      <c r="S183" s="1" t="str">
        <f>"0416436360"</f>
        <v>0416436360</v>
      </c>
      <c r="T183" s="1">
        <v>4.1643636E8</v>
      </c>
      <c r="U183" s="1" t="str">
        <f>"0416436360"</f>
        <v>0416436360</v>
      </c>
      <c r="V183" s="1" t="s">
        <v>1645</v>
      </c>
      <c r="W183" s="1" t="s">
        <v>70</v>
      </c>
      <c r="Y183" s="1" t="s">
        <v>1646</v>
      </c>
      <c r="AB183" s="1" t="s">
        <v>54</v>
      </c>
      <c r="AC183" s="1" t="s">
        <v>1647</v>
      </c>
      <c r="AD183" s="1">
        <v>5.0</v>
      </c>
      <c r="AE183" s="1" t="s">
        <v>180</v>
      </c>
      <c r="AF183" s="1">
        <v>4.0</v>
      </c>
      <c r="AG183" s="1" t="s">
        <v>1638</v>
      </c>
      <c r="AH183" s="2">
        <v>43290.0</v>
      </c>
      <c r="AI183" s="1" t="s">
        <v>117</v>
      </c>
      <c r="AJ183" s="1">
        <v>34.0</v>
      </c>
      <c r="AK183" s="1">
        <v>34.0</v>
      </c>
      <c r="AL183" s="1">
        <v>1.0</v>
      </c>
      <c r="AM183" s="1" t="s">
        <v>58</v>
      </c>
    </row>
    <row r="184" ht="15.75" customHeight="1">
      <c r="A184" s="1" t="s">
        <v>1648</v>
      </c>
      <c r="B184" s="1" t="s">
        <v>41</v>
      </c>
      <c r="C184" s="1" t="s">
        <v>1649</v>
      </c>
      <c r="D184" s="2">
        <v>43290.0</v>
      </c>
      <c r="E184" s="1" t="s">
        <v>1650</v>
      </c>
      <c r="F184" s="1" t="s">
        <v>1651</v>
      </c>
      <c r="G184" s="1" t="s">
        <v>1652</v>
      </c>
      <c r="H184" s="1" t="s">
        <v>1653</v>
      </c>
      <c r="L184" s="1" t="s">
        <v>1654</v>
      </c>
      <c r="M184" s="1" t="s">
        <v>1655</v>
      </c>
      <c r="N184" s="1">
        <v>3016.0</v>
      </c>
      <c r="O184" s="1" t="s">
        <v>49</v>
      </c>
      <c r="P184" s="1">
        <v>4.70321822E8</v>
      </c>
      <c r="Q184" s="1" t="str">
        <f>"470321822"</f>
        <v>470321822</v>
      </c>
      <c r="S184" s="1" t="str">
        <f t="shared" ref="S184:S194" si="49">""</f>
        <v/>
      </c>
      <c r="T184" s="1">
        <v>4.70321822E8</v>
      </c>
      <c r="U184" s="1" t="str">
        <f>"0470321822"</f>
        <v>0470321822</v>
      </c>
      <c r="V184" s="1" t="s">
        <v>1656</v>
      </c>
      <c r="W184" s="1" t="s">
        <v>51</v>
      </c>
      <c r="Y184" s="1" t="s">
        <v>115</v>
      </c>
      <c r="Z184" s="1" t="s">
        <v>1657</v>
      </c>
      <c r="AB184" s="1" t="s">
        <v>54</v>
      </c>
      <c r="AC184" s="1" t="s">
        <v>55</v>
      </c>
      <c r="AD184" s="1">
        <v>4.0</v>
      </c>
      <c r="AE184" s="1" t="s">
        <v>180</v>
      </c>
      <c r="AF184" s="1">
        <v>4.0</v>
      </c>
      <c r="AG184" s="1" t="s">
        <v>1649</v>
      </c>
      <c r="AH184" s="2">
        <v>43290.0</v>
      </c>
      <c r="AI184" s="1" t="s">
        <v>138</v>
      </c>
      <c r="AJ184" s="1">
        <v>19.0</v>
      </c>
      <c r="AK184" s="1">
        <v>22.0</v>
      </c>
      <c r="AL184" s="1">
        <v>4.0</v>
      </c>
      <c r="AM184" s="1" t="s">
        <v>58</v>
      </c>
    </row>
    <row r="185" ht="15.75" customHeight="1">
      <c r="A185" s="1" t="s">
        <v>1658</v>
      </c>
      <c r="B185" s="1" t="s">
        <v>41</v>
      </c>
      <c r="C185" s="1" t="s">
        <v>1659</v>
      </c>
      <c r="D185" s="2">
        <v>43290.0</v>
      </c>
      <c r="E185" s="1" t="s">
        <v>1660</v>
      </c>
      <c r="F185" s="1" t="s">
        <v>1661</v>
      </c>
      <c r="G185" s="1" t="s">
        <v>1662</v>
      </c>
      <c r="H185" s="1" t="s">
        <v>1663</v>
      </c>
      <c r="L185" s="1" t="s">
        <v>1664</v>
      </c>
      <c r="M185" s="1" t="s">
        <v>509</v>
      </c>
      <c r="N185" s="1">
        <v>3056.0</v>
      </c>
      <c r="O185" s="1" t="s">
        <v>49</v>
      </c>
      <c r="P185" s="1">
        <v>4.21403494E8</v>
      </c>
      <c r="Q185" s="1" t="str">
        <f>"421403494"</f>
        <v>421403494</v>
      </c>
      <c r="S185" s="1" t="str">
        <f t="shared" si="49"/>
        <v/>
      </c>
      <c r="T185" s="1">
        <v>4.21403494E8</v>
      </c>
      <c r="U185" s="1" t="str">
        <f>"0421403494"</f>
        <v>0421403494</v>
      </c>
      <c r="V185" s="1" t="s">
        <v>1665</v>
      </c>
      <c r="W185" s="1" t="s">
        <v>51</v>
      </c>
      <c r="Y185" s="1" t="s">
        <v>52</v>
      </c>
      <c r="Z185" s="1" t="s">
        <v>1666</v>
      </c>
      <c r="AB185" s="1" t="s">
        <v>54</v>
      </c>
      <c r="AC185" s="1" t="s">
        <v>55</v>
      </c>
      <c r="AD185" s="1">
        <v>4.0</v>
      </c>
      <c r="AE185" s="1" t="s">
        <v>180</v>
      </c>
      <c r="AF185" s="1">
        <v>4.0</v>
      </c>
      <c r="AG185" s="1" t="s">
        <v>1659</v>
      </c>
      <c r="AH185" s="2">
        <v>43290.0</v>
      </c>
      <c r="AI185" s="1" t="s">
        <v>1024</v>
      </c>
      <c r="AJ185" s="1">
        <v>26.0</v>
      </c>
      <c r="AK185" s="1">
        <v>27.0</v>
      </c>
      <c r="AL185" s="1">
        <v>2.0</v>
      </c>
      <c r="AM185" s="1" t="s">
        <v>58</v>
      </c>
      <c r="AN185" s="1" t="s">
        <v>1667</v>
      </c>
    </row>
    <row r="186" ht="15.75" customHeight="1">
      <c r="A186" s="1" t="s">
        <v>1668</v>
      </c>
      <c r="B186" s="1" t="s">
        <v>41</v>
      </c>
      <c r="C186" s="1" t="s">
        <v>1669</v>
      </c>
      <c r="D186" s="2">
        <v>43290.0</v>
      </c>
      <c r="E186" s="1" t="s">
        <v>88</v>
      </c>
      <c r="F186" s="1" t="s">
        <v>89</v>
      </c>
      <c r="G186" s="1" t="s">
        <v>90</v>
      </c>
      <c r="H186" s="1" t="s">
        <v>91</v>
      </c>
      <c r="L186" s="1" t="s">
        <v>1670</v>
      </c>
      <c r="M186" s="1" t="s">
        <v>1671</v>
      </c>
      <c r="N186" s="1">
        <v>3059.0</v>
      </c>
      <c r="O186" s="1" t="s">
        <v>49</v>
      </c>
      <c r="P186" s="1">
        <v>4.14739043E8</v>
      </c>
      <c r="Q186" s="1" t="str">
        <f>"0414739043"</f>
        <v>0414739043</v>
      </c>
      <c r="S186" s="1" t="str">
        <f t="shared" si="49"/>
        <v/>
      </c>
      <c r="U186" s="1" t="str">
        <f>""</f>
        <v/>
      </c>
      <c r="V186" s="1" t="s">
        <v>94</v>
      </c>
      <c r="W186" s="1" t="s">
        <v>70</v>
      </c>
      <c r="Y186" s="1" t="s">
        <v>1168</v>
      </c>
      <c r="Z186" s="1" t="s">
        <v>1404</v>
      </c>
      <c r="AB186" s="1" t="s">
        <v>54</v>
      </c>
      <c r="AC186" s="1" t="s">
        <v>55</v>
      </c>
      <c r="AD186" s="1">
        <v>3.0</v>
      </c>
      <c r="AE186" s="1" t="s">
        <v>56</v>
      </c>
      <c r="AF186" s="1">
        <v>3.0</v>
      </c>
      <c r="AG186" s="1" t="s">
        <v>1669</v>
      </c>
      <c r="AH186" s="2">
        <v>43290.0</v>
      </c>
      <c r="AI186" s="1" t="s">
        <v>639</v>
      </c>
      <c r="AJ186" s="1">
        <v>39.0</v>
      </c>
      <c r="AK186" s="1">
        <v>39.0</v>
      </c>
      <c r="AL186" s="1">
        <v>1.0</v>
      </c>
      <c r="AM186" s="1" t="s">
        <v>58</v>
      </c>
    </row>
    <row r="187" ht="15.75" customHeight="1">
      <c r="A187" s="1" t="s">
        <v>1672</v>
      </c>
      <c r="B187" s="1" t="s">
        <v>41</v>
      </c>
      <c r="C187" s="1" t="s">
        <v>1673</v>
      </c>
      <c r="D187" s="2">
        <v>43290.0</v>
      </c>
      <c r="E187" s="1" t="s">
        <v>1674</v>
      </c>
      <c r="F187" s="1" t="s">
        <v>1675</v>
      </c>
      <c r="G187" s="1" t="s">
        <v>1676</v>
      </c>
      <c r="H187" s="1" t="s">
        <v>1677</v>
      </c>
      <c r="L187" s="1" t="s">
        <v>1678</v>
      </c>
      <c r="M187" s="1" t="s">
        <v>1679</v>
      </c>
      <c r="N187" s="1">
        <v>3174.0</v>
      </c>
      <c r="O187" s="1" t="s">
        <v>49</v>
      </c>
      <c r="P187" s="1">
        <v>4.12486929E8</v>
      </c>
      <c r="Q187" s="1" t="str">
        <f>"412486929"</f>
        <v>412486929</v>
      </c>
      <c r="S187" s="1" t="str">
        <f t="shared" si="49"/>
        <v/>
      </c>
      <c r="T187" s="1">
        <v>4.12486929E8</v>
      </c>
      <c r="U187" s="1" t="str">
        <f>"0412486929"</f>
        <v>0412486929</v>
      </c>
      <c r="V187" s="1" t="s">
        <v>1680</v>
      </c>
      <c r="W187" s="1" t="s">
        <v>51</v>
      </c>
      <c r="Y187" s="1" t="s">
        <v>115</v>
      </c>
      <c r="Z187" s="1" t="s">
        <v>1681</v>
      </c>
      <c r="AB187" s="1" t="s">
        <v>54</v>
      </c>
      <c r="AC187" s="1" t="s">
        <v>55</v>
      </c>
      <c r="AD187" s="1">
        <v>3.0</v>
      </c>
      <c r="AE187" s="1" t="s">
        <v>56</v>
      </c>
      <c r="AF187" s="1">
        <v>3.0</v>
      </c>
      <c r="AG187" s="1" t="s">
        <v>1673</v>
      </c>
      <c r="AH187" s="2">
        <v>43290.0</v>
      </c>
      <c r="AI187" s="1" t="s">
        <v>1003</v>
      </c>
      <c r="AJ187" s="1">
        <v>14.0</v>
      </c>
      <c r="AK187" s="1">
        <v>14.0</v>
      </c>
      <c r="AL187" s="1">
        <v>1.0</v>
      </c>
      <c r="AM187" s="1" t="s">
        <v>58</v>
      </c>
    </row>
    <row r="188" ht="15.75" customHeight="1">
      <c r="A188" s="1" t="s">
        <v>1682</v>
      </c>
      <c r="B188" s="1" t="s">
        <v>41</v>
      </c>
      <c r="C188" s="1" t="s">
        <v>1683</v>
      </c>
      <c r="D188" s="2">
        <v>43290.0</v>
      </c>
      <c r="E188" s="1" t="s">
        <v>1684</v>
      </c>
      <c r="F188" s="1" t="s">
        <v>1685</v>
      </c>
      <c r="G188" s="1" t="s">
        <v>1686</v>
      </c>
      <c r="H188" s="1" t="s">
        <v>1687</v>
      </c>
      <c r="L188" s="1" t="s">
        <v>1688</v>
      </c>
      <c r="M188" s="1" t="s">
        <v>1689</v>
      </c>
      <c r="N188" s="1">
        <v>3188.0</v>
      </c>
      <c r="O188" s="1" t="s">
        <v>49</v>
      </c>
      <c r="P188" s="1">
        <v>4.13043519E8</v>
      </c>
      <c r="Q188" s="1" t="str">
        <f>"413043519"</f>
        <v>413043519</v>
      </c>
      <c r="S188" s="1" t="str">
        <f t="shared" si="49"/>
        <v/>
      </c>
      <c r="T188" s="1">
        <v>4.13043519E8</v>
      </c>
      <c r="U188" s="1" t="str">
        <f>"0413043519"</f>
        <v>0413043519</v>
      </c>
      <c r="V188" s="1" t="s">
        <v>1690</v>
      </c>
      <c r="W188" s="1" t="s">
        <v>70</v>
      </c>
      <c r="Y188" s="1" t="s">
        <v>52</v>
      </c>
      <c r="Z188" s="1" t="s">
        <v>1691</v>
      </c>
      <c r="AB188" s="1" t="s">
        <v>54</v>
      </c>
      <c r="AC188" s="1" t="s">
        <v>55</v>
      </c>
      <c r="AD188" s="1">
        <v>4.0</v>
      </c>
      <c r="AE188" s="1" t="s">
        <v>180</v>
      </c>
      <c r="AF188" s="1">
        <v>4.0</v>
      </c>
      <c r="AG188" s="1" t="s">
        <v>1683</v>
      </c>
      <c r="AH188" s="2">
        <v>43290.0</v>
      </c>
      <c r="AI188" s="1" t="s">
        <v>138</v>
      </c>
      <c r="AJ188" s="1">
        <v>23.0</v>
      </c>
      <c r="AK188" s="1">
        <v>25.0</v>
      </c>
      <c r="AL188" s="1">
        <v>3.0</v>
      </c>
      <c r="AM188" s="1" t="s">
        <v>58</v>
      </c>
    </row>
    <row r="189" ht="15.75" customHeight="1">
      <c r="A189" s="1" t="s">
        <v>1692</v>
      </c>
      <c r="B189" s="1" t="s">
        <v>41</v>
      </c>
      <c r="C189" s="1" t="s">
        <v>1693</v>
      </c>
      <c r="D189" s="2">
        <v>43290.0</v>
      </c>
      <c r="E189" s="1" t="s">
        <v>1694</v>
      </c>
      <c r="F189" s="1" t="s">
        <v>1695</v>
      </c>
      <c r="G189" s="1" t="s">
        <v>1696</v>
      </c>
      <c r="H189" s="1" t="s">
        <v>1697</v>
      </c>
      <c r="L189" s="1" t="s">
        <v>1698</v>
      </c>
      <c r="M189" s="1" t="s">
        <v>1699</v>
      </c>
      <c r="N189" s="1">
        <v>3174.0</v>
      </c>
      <c r="O189" s="1" t="s">
        <v>49</v>
      </c>
      <c r="P189" s="1">
        <v>3.83276948E8</v>
      </c>
      <c r="Q189" s="1" t="str">
        <f>"383276948"</f>
        <v>383276948</v>
      </c>
      <c r="S189" s="1" t="str">
        <f t="shared" si="49"/>
        <v/>
      </c>
      <c r="T189" s="1">
        <v>4.48844572E8</v>
      </c>
      <c r="U189" s="1" t="str">
        <f>"0448844572"</f>
        <v>0448844572</v>
      </c>
      <c r="V189" s="1" t="s">
        <v>1700</v>
      </c>
      <c r="W189" s="1" t="s">
        <v>51</v>
      </c>
      <c r="Y189" s="1" t="s">
        <v>115</v>
      </c>
      <c r="Z189" s="1" t="s">
        <v>1701</v>
      </c>
      <c r="AB189" s="1" t="s">
        <v>54</v>
      </c>
      <c r="AC189" s="1" t="s">
        <v>55</v>
      </c>
      <c r="AD189" s="1">
        <v>3.0</v>
      </c>
      <c r="AE189" s="1" t="s">
        <v>56</v>
      </c>
      <c r="AF189" s="1">
        <v>3.0</v>
      </c>
      <c r="AG189" s="1" t="s">
        <v>1693</v>
      </c>
      <c r="AH189" s="2">
        <v>43290.0</v>
      </c>
      <c r="AI189" s="1" t="s">
        <v>490</v>
      </c>
      <c r="AJ189" s="1">
        <v>5.0</v>
      </c>
      <c r="AK189" s="1">
        <v>5.0</v>
      </c>
      <c r="AL189" s="1">
        <v>1.0</v>
      </c>
      <c r="AM189" s="1" t="s">
        <v>58</v>
      </c>
    </row>
    <row r="190" ht="15.75" customHeight="1">
      <c r="A190" s="1" t="s">
        <v>1702</v>
      </c>
      <c r="B190" s="1" t="s">
        <v>41</v>
      </c>
      <c r="C190" s="1" t="s">
        <v>1703</v>
      </c>
      <c r="D190" s="2">
        <v>43290.0</v>
      </c>
      <c r="E190" s="1" t="s">
        <v>1704</v>
      </c>
      <c r="F190" s="1" t="s">
        <v>1705</v>
      </c>
      <c r="G190" s="1" t="s">
        <v>1706</v>
      </c>
      <c r="H190" s="1" t="s">
        <v>196</v>
      </c>
      <c r="L190" s="1" t="s">
        <v>1707</v>
      </c>
      <c r="M190" s="1" t="s">
        <v>156</v>
      </c>
      <c r="N190" s="1">
        <v>3000.0</v>
      </c>
      <c r="O190" s="1" t="s">
        <v>49</v>
      </c>
      <c r="P190" s="1">
        <v>4.68796054E8</v>
      </c>
      <c r="Q190" s="1" t="str">
        <f>"468796054"</f>
        <v>468796054</v>
      </c>
      <c r="S190" s="1" t="str">
        <f t="shared" si="49"/>
        <v/>
      </c>
      <c r="U190" s="1" t="str">
        <f>""</f>
        <v/>
      </c>
      <c r="V190" s="1" t="s">
        <v>1708</v>
      </c>
      <c r="W190" s="1" t="s">
        <v>51</v>
      </c>
      <c r="Y190" s="1" t="s">
        <v>115</v>
      </c>
      <c r="Z190" s="1" t="s">
        <v>1709</v>
      </c>
      <c r="AB190" s="1" t="s">
        <v>54</v>
      </c>
      <c r="AC190" s="1" t="s">
        <v>1071</v>
      </c>
      <c r="AD190" s="1">
        <v>3.0</v>
      </c>
      <c r="AE190" s="1" t="s">
        <v>56</v>
      </c>
      <c r="AF190" s="1">
        <v>3.0</v>
      </c>
      <c r="AG190" s="1" t="s">
        <v>1703</v>
      </c>
      <c r="AH190" s="2">
        <v>43290.0</v>
      </c>
      <c r="AI190" s="1" t="s">
        <v>670</v>
      </c>
      <c r="AJ190" s="1">
        <v>6.0</v>
      </c>
      <c r="AK190" s="1">
        <v>9.0</v>
      </c>
      <c r="AL190" s="1">
        <v>4.0</v>
      </c>
      <c r="AM190" s="1" t="s">
        <v>58</v>
      </c>
    </row>
    <row r="191" ht="15.75" customHeight="1">
      <c r="A191" s="1" t="s">
        <v>1710</v>
      </c>
      <c r="B191" s="1" t="s">
        <v>41</v>
      </c>
      <c r="C191" s="1" t="s">
        <v>1711</v>
      </c>
      <c r="D191" s="2">
        <v>43290.0</v>
      </c>
      <c r="E191" s="1" t="s">
        <v>1712</v>
      </c>
      <c r="F191" s="1" t="s">
        <v>1713</v>
      </c>
      <c r="G191" s="1" t="s">
        <v>1714</v>
      </c>
      <c r="H191" s="1" t="s">
        <v>1715</v>
      </c>
      <c r="L191" s="1" t="s">
        <v>1716</v>
      </c>
      <c r="M191" s="1" t="s">
        <v>68</v>
      </c>
      <c r="N191" s="1">
        <v>3131.0</v>
      </c>
      <c r="O191" s="1" t="s">
        <v>49</v>
      </c>
      <c r="P191" s="1">
        <v>4.68495404E8</v>
      </c>
      <c r="Q191" s="1" t="str">
        <f>"468495404"</f>
        <v>468495404</v>
      </c>
      <c r="S191" s="1" t="str">
        <f t="shared" si="49"/>
        <v/>
      </c>
      <c r="T191" s="1">
        <v>4.68495404E8</v>
      </c>
      <c r="U191" s="1" t="str">
        <f>"0468495404"</f>
        <v>0468495404</v>
      </c>
      <c r="V191" s="1" t="s">
        <v>1717</v>
      </c>
      <c r="W191" s="1" t="s">
        <v>51</v>
      </c>
      <c r="Y191" s="1" t="s">
        <v>52</v>
      </c>
      <c r="Z191" s="1" t="s">
        <v>1718</v>
      </c>
      <c r="AB191" s="1" t="s">
        <v>54</v>
      </c>
      <c r="AC191" s="1" t="s">
        <v>55</v>
      </c>
      <c r="AD191" s="1">
        <v>3.0</v>
      </c>
      <c r="AE191" s="1" t="s">
        <v>56</v>
      </c>
      <c r="AF191" s="1">
        <v>3.0</v>
      </c>
      <c r="AG191" s="1" t="s">
        <v>1711</v>
      </c>
      <c r="AH191" s="2">
        <v>43290.0</v>
      </c>
      <c r="AI191" s="1" t="s">
        <v>1149</v>
      </c>
      <c r="AJ191" s="1">
        <v>9.0</v>
      </c>
      <c r="AK191" s="1">
        <v>9.0</v>
      </c>
      <c r="AL191" s="1">
        <v>1.0</v>
      </c>
      <c r="AM191" s="1" t="s">
        <v>58</v>
      </c>
    </row>
    <row r="192" ht="15.75" customHeight="1">
      <c r="A192" s="1" t="s">
        <v>1719</v>
      </c>
      <c r="B192" s="1" t="s">
        <v>41</v>
      </c>
      <c r="C192" s="1" t="s">
        <v>1720</v>
      </c>
      <c r="D192" s="2">
        <v>43290.0</v>
      </c>
      <c r="E192" s="1" t="s">
        <v>1081</v>
      </c>
      <c r="F192" s="1" t="s">
        <v>1082</v>
      </c>
      <c r="G192" s="1" t="s">
        <v>1083</v>
      </c>
      <c r="H192" s="1" t="s">
        <v>186</v>
      </c>
      <c r="L192" s="1" t="s">
        <v>1084</v>
      </c>
      <c r="M192" s="1" t="s">
        <v>828</v>
      </c>
      <c r="N192" s="1">
        <v>3083.0</v>
      </c>
      <c r="O192" s="1" t="s">
        <v>49</v>
      </c>
      <c r="P192" s="1">
        <v>4.03117721E8</v>
      </c>
      <c r="Q192" s="1" t="str">
        <f>"403117721"</f>
        <v>403117721</v>
      </c>
      <c r="S192" s="1" t="str">
        <f t="shared" si="49"/>
        <v/>
      </c>
      <c r="T192" s="1">
        <v>4.03117721E8</v>
      </c>
      <c r="U192" s="1" t="str">
        <f>"0403117721"</f>
        <v>0403117721</v>
      </c>
      <c r="V192" s="1" t="s">
        <v>1085</v>
      </c>
      <c r="W192" s="1" t="s">
        <v>51</v>
      </c>
      <c r="Y192" s="1" t="s">
        <v>52</v>
      </c>
      <c r="Z192" s="1" t="s">
        <v>1721</v>
      </c>
      <c r="AB192" s="1" t="s">
        <v>54</v>
      </c>
      <c r="AC192" s="1" t="s">
        <v>55</v>
      </c>
      <c r="AD192" s="1">
        <v>4.0</v>
      </c>
      <c r="AE192" s="1" t="s">
        <v>180</v>
      </c>
      <c r="AF192" s="1">
        <v>4.0</v>
      </c>
      <c r="AG192" s="1" t="s">
        <v>1720</v>
      </c>
      <c r="AH192" s="2">
        <v>43290.0</v>
      </c>
      <c r="AI192" s="1" t="s">
        <v>72</v>
      </c>
      <c r="AJ192" s="1">
        <v>12.0</v>
      </c>
      <c r="AK192" s="1">
        <v>12.0</v>
      </c>
      <c r="AL192" s="1">
        <v>1.0</v>
      </c>
      <c r="AM192" s="1" t="s">
        <v>58</v>
      </c>
    </row>
    <row r="193" ht="15.75" customHeight="1">
      <c r="A193" s="1" t="s">
        <v>1722</v>
      </c>
      <c r="B193" s="1" t="s">
        <v>41</v>
      </c>
      <c r="C193" s="1" t="s">
        <v>1723</v>
      </c>
      <c r="D193" s="2">
        <v>43290.0</v>
      </c>
      <c r="E193" s="1" t="s">
        <v>1724</v>
      </c>
      <c r="F193" s="1" t="s">
        <v>1725</v>
      </c>
      <c r="G193" s="1" t="s">
        <v>1726</v>
      </c>
      <c r="H193" s="1" t="s">
        <v>1727</v>
      </c>
      <c r="L193" s="1" t="s">
        <v>1728</v>
      </c>
      <c r="M193" s="1" t="s">
        <v>156</v>
      </c>
      <c r="N193" s="1">
        <v>3130.0</v>
      </c>
      <c r="O193" s="1" t="s">
        <v>49</v>
      </c>
      <c r="P193" s="1">
        <v>4.51677104E8</v>
      </c>
      <c r="Q193" s="1" t="str">
        <f>"451677104"</f>
        <v>451677104</v>
      </c>
      <c r="S193" s="1" t="str">
        <f t="shared" si="49"/>
        <v/>
      </c>
      <c r="U193" s="1" t="str">
        <f t="shared" ref="U193:U194" si="50">""</f>
        <v/>
      </c>
      <c r="V193" s="1" t="s">
        <v>1729</v>
      </c>
      <c r="W193" s="1" t="s">
        <v>51</v>
      </c>
      <c r="Y193" s="1" t="s">
        <v>52</v>
      </c>
      <c r="Z193" s="1" t="s">
        <v>1730</v>
      </c>
      <c r="AB193" s="1" t="s">
        <v>54</v>
      </c>
      <c r="AC193" s="1" t="s">
        <v>55</v>
      </c>
      <c r="AD193" s="1">
        <v>3.0</v>
      </c>
      <c r="AE193" s="1" t="s">
        <v>56</v>
      </c>
      <c r="AF193" s="1">
        <v>3.0</v>
      </c>
      <c r="AG193" s="1" t="s">
        <v>1723</v>
      </c>
      <c r="AH193" s="2">
        <v>43290.0</v>
      </c>
      <c r="AI193" s="1" t="s">
        <v>1003</v>
      </c>
      <c r="AJ193" s="1">
        <v>30.0</v>
      </c>
      <c r="AK193" s="1">
        <v>36.0</v>
      </c>
      <c r="AL193" s="1">
        <v>7.0</v>
      </c>
      <c r="AM193" s="1" t="s">
        <v>58</v>
      </c>
      <c r="AN193" s="1" t="s">
        <v>1667</v>
      </c>
    </row>
    <row r="194" ht="15.75" customHeight="1">
      <c r="A194" s="1" t="s">
        <v>1731</v>
      </c>
      <c r="B194" s="1" t="s">
        <v>41</v>
      </c>
      <c r="C194" s="1" t="s">
        <v>1732</v>
      </c>
      <c r="D194" s="2">
        <v>43291.0</v>
      </c>
      <c r="E194" s="1" t="s">
        <v>1733</v>
      </c>
      <c r="F194" s="1" t="s">
        <v>1734</v>
      </c>
      <c r="G194" s="1" t="s">
        <v>1735</v>
      </c>
      <c r="H194" s="1" t="s">
        <v>1736</v>
      </c>
      <c r="L194" s="1" t="s">
        <v>1737</v>
      </c>
      <c r="M194" s="1" t="s">
        <v>1738</v>
      </c>
      <c r="N194" s="1">
        <v>3775.0</v>
      </c>
      <c r="O194" s="1" t="s">
        <v>49</v>
      </c>
      <c r="P194" s="1">
        <v>4.50718145E8</v>
      </c>
      <c r="Q194" s="1" t="str">
        <f>"0450718145"</f>
        <v>0450718145</v>
      </c>
      <c r="S194" s="1" t="str">
        <f t="shared" si="49"/>
        <v/>
      </c>
      <c r="U194" s="1" t="str">
        <f t="shared" si="50"/>
        <v/>
      </c>
      <c r="V194" s="1" t="s">
        <v>1739</v>
      </c>
      <c r="W194" s="1" t="s">
        <v>70</v>
      </c>
      <c r="Y194" s="1" t="s">
        <v>1168</v>
      </c>
      <c r="Z194" s="1" t="s">
        <v>1404</v>
      </c>
      <c r="AB194" s="1" t="s">
        <v>54</v>
      </c>
      <c r="AC194" s="1" t="s">
        <v>55</v>
      </c>
      <c r="AD194" s="1">
        <v>3.0</v>
      </c>
      <c r="AE194" s="1" t="s">
        <v>56</v>
      </c>
      <c r="AF194" s="1">
        <v>3.0</v>
      </c>
      <c r="AG194" s="1" t="s">
        <v>1732</v>
      </c>
      <c r="AH194" s="2">
        <v>43291.0</v>
      </c>
      <c r="AI194" s="1" t="s">
        <v>490</v>
      </c>
      <c r="AJ194" s="1">
        <v>1.0</v>
      </c>
      <c r="AK194" s="1">
        <v>4.0</v>
      </c>
      <c r="AL194" s="1">
        <v>4.0</v>
      </c>
      <c r="AM194" s="1" t="s">
        <v>58</v>
      </c>
    </row>
    <row r="195" ht="15.75" customHeight="1">
      <c r="A195" s="1" t="s">
        <v>1740</v>
      </c>
      <c r="B195" s="1" t="s">
        <v>41</v>
      </c>
      <c r="C195" s="1" t="s">
        <v>1741</v>
      </c>
      <c r="D195" s="2">
        <v>43291.0</v>
      </c>
      <c r="E195" s="1" t="s">
        <v>1742</v>
      </c>
      <c r="F195" s="1" t="s">
        <v>1742</v>
      </c>
      <c r="G195" s="1" t="s">
        <v>1742</v>
      </c>
      <c r="Q195" s="1" t="str">
        <f>""</f>
        <v/>
      </c>
      <c r="R195" s="1">
        <v>4.23650266E8</v>
      </c>
      <c r="S195" s="1" t="str">
        <f>"0423650266"</f>
        <v>0423650266</v>
      </c>
      <c r="T195" s="1">
        <v>4.23650266E8</v>
      </c>
      <c r="U195" s="1" t="str">
        <f>"0423650266"</f>
        <v>0423650266</v>
      </c>
      <c r="W195" s="1" t="s">
        <v>70</v>
      </c>
      <c r="Y195" s="1" t="s">
        <v>1743</v>
      </c>
      <c r="AB195" s="1" t="s">
        <v>54</v>
      </c>
      <c r="AD195" s="1">
        <v>4.0</v>
      </c>
      <c r="AE195" s="1" t="s">
        <v>180</v>
      </c>
      <c r="AF195" s="1">
        <v>4.0</v>
      </c>
      <c r="AG195" s="1" t="s">
        <v>1741</v>
      </c>
      <c r="AH195" s="2">
        <v>43291.0</v>
      </c>
      <c r="AI195" s="1" t="s">
        <v>138</v>
      </c>
      <c r="AJ195" s="1">
        <v>16.0</v>
      </c>
      <c r="AK195" s="1">
        <v>18.0</v>
      </c>
      <c r="AL195" s="1">
        <v>3.0</v>
      </c>
      <c r="AM195" s="1" t="s">
        <v>1744</v>
      </c>
    </row>
    <row r="196" ht="15.75" customHeight="1">
      <c r="A196" s="1" t="s">
        <v>1745</v>
      </c>
      <c r="B196" s="1" t="s">
        <v>41</v>
      </c>
      <c r="C196" s="1" t="s">
        <v>1746</v>
      </c>
      <c r="D196" s="2">
        <v>43291.0</v>
      </c>
      <c r="E196" s="1" t="s">
        <v>1747</v>
      </c>
      <c r="F196" s="1" t="s">
        <v>1748</v>
      </c>
      <c r="G196" s="1" t="s">
        <v>1749</v>
      </c>
      <c r="H196" s="1" t="s">
        <v>1750</v>
      </c>
      <c r="L196" s="1" t="s">
        <v>1751</v>
      </c>
      <c r="M196" s="1" t="s">
        <v>1752</v>
      </c>
      <c r="N196" s="1">
        <v>3146.0</v>
      </c>
      <c r="O196" s="1" t="s">
        <v>49</v>
      </c>
      <c r="P196" s="1">
        <v>4.25303404E8</v>
      </c>
      <c r="Q196" s="1" t="str">
        <f>"425303404"</f>
        <v>425303404</v>
      </c>
      <c r="S196" s="1" t="str">
        <f t="shared" ref="S196:S243" si="51">""</f>
        <v/>
      </c>
      <c r="T196" s="1">
        <v>4.25303404E8</v>
      </c>
      <c r="U196" s="1" t="str">
        <f>"0425303404"</f>
        <v>0425303404</v>
      </c>
      <c r="V196" s="1" t="s">
        <v>1753</v>
      </c>
      <c r="W196" s="1" t="s">
        <v>51</v>
      </c>
      <c r="Y196" s="1" t="s">
        <v>52</v>
      </c>
      <c r="Z196" s="1" t="s">
        <v>1754</v>
      </c>
      <c r="AB196" s="1" t="s">
        <v>54</v>
      </c>
      <c r="AC196" s="1" t="s">
        <v>55</v>
      </c>
      <c r="AD196" s="1">
        <v>4.0</v>
      </c>
      <c r="AE196" s="1" t="s">
        <v>180</v>
      </c>
      <c r="AF196" s="1">
        <v>4.0</v>
      </c>
      <c r="AG196" s="1" t="s">
        <v>1746</v>
      </c>
      <c r="AH196" s="2">
        <v>43291.0</v>
      </c>
      <c r="AI196" s="1" t="s">
        <v>72</v>
      </c>
      <c r="AJ196" s="1">
        <v>34.0</v>
      </c>
      <c r="AK196" s="1">
        <v>36.0</v>
      </c>
      <c r="AL196" s="1">
        <v>3.0</v>
      </c>
      <c r="AM196" s="1" t="s">
        <v>58</v>
      </c>
    </row>
    <row r="197" ht="15.75" customHeight="1">
      <c r="A197" s="1" t="s">
        <v>1755</v>
      </c>
      <c r="B197" s="1" t="s">
        <v>41</v>
      </c>
      <c r="C197" s="1" t="s">
        <v>1756</v>
      </c>
      <c r="D197" s="2">
        <v>43291.0</v>
      </c>
      <c r="E197" s="1" t="s">
        <v>1704</v>
      </c>
      <c r="F197" s="1" t="s">
        <v>1705</v>
      </c>
      <c r="G197" s="1" t="s">
        <v>1706</v>
      </c>
      <c r="H197" s="1" t="s">
        <v>196</v>
      </c>
      <c r="L197" s="1" t="s">
        <v>1707</v>
      </c>
      <c r="M197" s="1" t="s">
        <v>156</v>
      </c>
      <c r="N197" s="1">
        <v>3000.0</v>
      </c>
      <c r="O197" s="1" t="s">
        <v>49</v>
      </c>
      <c r="P197" s="1">
        <v>4.68796054E8</v>
      </c>
      <c r="Q197" s="1" t="str">
        <f>"468796054"</f>
        <v>468796054</v>
      </c>
      <c r="S197" s="1" t="str">
        <f t="shared" si="51"/>
        <v/>
      </c>
      <c r="U197" s="1" t="str">
        <f t="shared" ref="U197:U198" si="52">""</f>
        <v/>
      </c>
      <c r="V197" s="1" t="s">
        <v>1708</v>
      </c>
      <c r="W197" s="1" t="s">
        <v>51</v>
      </c>
      <c r="Y197" s="1" t="s">
        <v>115</v>
      </c>
      <c r="Z197" s="1" t="s">
        <v>1709</v>
      </c>
      <c r="AB197" s="1" t="s">
        <v>54</v>
      </c>
      <c r="AC197" s="1" t="s">
        <v>1071</v>
      </c>
      <c r="AD197" s="1">
        <v>3.0</v>
      </c>
      <c r="AE197" s="1" t="s">
        <v>56</v>
      </c>
      <c r="AF197" s="1">
        <v>3.0</v>
      </c>
      <c r="AG197" s="1" t="s">
        <v>1756</v>
      </c>
      <c r="AH197" s="2">
        <v>43291.0</v>
      </c>
      <c r="AI197" s="1" t="s">
        <v>670</v>
      </c>
      <c r="AJ197" s="1">
        <v>4.0</v>
      </c>
      <c r="AK197" s="1">
        <v>5.0</v>
      </c>
      <c r="AL197" s="1">
        <v>2.0</v>
      </c>
      <c r="AM197" s="1" t="s">
        <v>58</v>
      </c>
    </row>
    <row r="198" ht="15.75" customHeight="1">
      <c r="A198" s="1" t="s">
        <v>1757</v>
      </c>
      <c r="B198" s="1" t="s">
        <v>41</v>
      </c>
      <c r="C198" s="1" t="s">
        <v>1758</v>
      </c>
      <c r="D198" s="2">
        <v>43291.0</v>
      </c>
      <c r="E198" s="1" t="s">
        <v>1759</v>
      </c>
      <c r="F198" s="1" t="s">
        <v>1760</v>
      </c>
      <c r="G198" s="1" t="s">
        <v>1761</v>
      </c>
      <c r="H198" s="1" t="s">
        <v>1762</v>
      </c>
      <c r="L198" s="1" t="s">
        <v>1763</v>
      </c>
      <c r="M198" s="1" t="s">
        <v>509</v>
      </c>
      <c r="N198" s="1">
        <v>3056.0</v>
      </c>
      <c r="O198" s="1" t="s">
        <v>49</v>
      </c>
      <c r="P198" s="1">
        <v>4.30529998E8</v>
      </c>
      <c r="Q198" s="1" t="str">
        <f>"430529998"</f>
        <v>430529998</v>
      </c>
      <c r="S198" s="1" t="str">
        <f t="shared" si="51"/>
        <v/>
      </c>
      <c r="U198" s="1" t="str">
        <f t="shared" si="52"/>
        <v/>
      </c>
      <c r="V198" s="1" t="s">
        <v>1764</v>
      </c>
      <c r="W198" s="1" t="s">
        <v>70</v>
      </c>
      <c r="Y198" s="1" t="s">
        <v>52</v>
      </c>
      <c r="Z198" s="1" t="s">
        <v>1765</v>
      </c>
      <c r="AB198" s="1" t="s">
        <v>54</v>
      </c>
      <c r="AC198" s="1" t="s">
        <v>55</v>
      </c>
      <c r="AD198" s="1">
        <v>4.0</v>
      </c>
      <c r="AE198" s="1" t="s">
        <v>180</v>
      </c>
      <c r="AF198" s="1">
        <v>4.0</v>
      </c>
      <c r="AG198" s="1" t="s">
        <v>1758</v>
      </c>
      <c r="AH198" s="2">
        <v>43291.0</v>
      </c>
      <c r="AI198" s="1" t="s">
        <v>85</v>
      </c>
      <c r="AJ198" s="1">
        <v>34.0</v>
      </c>
      <c r="AK198" s="1">
        <v>35.0</v>
      </c>
      <c r="AL198" s="1">
        <v>2.0</v>
      </c>
      <c r="AM198" s="1" t="s">
        <v>58</v>
      </c>
    </row>
    <row r="199" ht="15.75" customHeight="1">
      <c r="A199" s="1" t="s">
        <v>1766</v>
      </c>
      <c r="B199" s="1" t="s">
        <v>41</v>
      </c>
      <c r="C199" s="1" t="s">
        <v>1767</v>
      </c>
      <c r="D199" s="2">
        <v>43291.0</v>
      </c>
      <c r="E199" s="1" t="s">
        <v>1768</v>
      </c>
      <c r="F199" s="1" t="s">
        <v>1769</v>
      </c>
      <c r="G199" s="1" t="s">
        <v>1770</v>
      </c>
      <c r="H199" s="1" t="s">
        <v>1771</v>
      </c>
      <c r="L199" s="1" t="s">
        <v>1772</v>
      </c>
      <c r="M199" s="1" t="s">
        <v>559</v>
      </c>
      <c r="N199" s="1">
        <v>3152.0</v>
      </c>
      <c r="O199" s="1" t="s">
        <v>49</v>
      </c>
      <c r="P199" s="1">
        <v>4.01366671E8</v>
      </c>
      <c r="Q199" s="1" t="str">
        <f>"401366671"</f>
        <v>401366671</v>
      </c>
      <c r="S199" s="1" t="str">
        <f t="shared" si="51"/>
        <v/>
      </c>
      <c r="T199" s="1">
        <v>4.01366671E8</v>
      </c>
      <c r="U199" s="1" t="str">
        <f>"0401366671"</f>
        <v>0401366671</v>
      </c>
      <c r="V199" s="1" t="s">
        <v>1773</v>
      </c>
      <c r="W199" s="1" t="s">
        <v>70</v>
      </c>
      <c r="Y199" s="1" t="s">
        <v>52</v>
      </c>
      <c r="Z199" s="1" t="s">
        <v>1774</v>
      </c>
      <c r="AB199" s="1" t="s">
        <v>54</v>
      </c>
      <c r="AC199" s="1" t="s">
        <v>55</v>
      </c>
      <c r="AD199" s="1">
        <v>4.0</v>
      </c>
      <c r="AE199" s="1" t="s">
        <v>180</v>
      </c>
      <c r="AF199" s="1">
        <v>4.0</v>
      </c>
      <c r="AG199" s="1" t="s">
        <v>1767</v>
      </c>
      <c r="AH199" s="2">
        <v>43291.0</v>
      </c>
      <c r="AI199" s="1" t="s">
        <v>1298</v>
      </c>
      <c r="AJ199" s="1">
        <v>27.0</v>
      </c>
      <c r="AK199" s="1">
        <v>30.0</v>
      </c>
      <c r="AL199" s="1">
        <v>4.0</v>
      </c>
      <c r="AM199" s="1" t="s">
        <v>58</v>
      </c>
    </row>
    <row r="200" ht="15.75" customHeight="1">
      <c r="A200" s="1" t="s">
        <v>1775</v>
      </c>
      <c r="B200" s="1" t="s">
        <v>41</v>
      </c>
      <c r="C200" s="1" t="s">
        <v>1776</v>
      </c>
      <c r="D200" s="2">
        <v>43291.0</v>
      </c>
      <c r="E200" s="1" t="s">
        <v>1777</v>
      </c>
      <c r="F200" s="1" t="s">
        <v>1778</v>
      </c>
      <c r="G200" s="1" t="s">
        <v>1779</v>
      </c>
      <c r="H200" s="1" t="s">
        <v>474</v>
      </c>
      <c r="L200" s="1" t="s">
        <v>1780</v>
      </c>
      <c r="M200" s="1" t="s">
        <v>1781</v>
      </c>
      <c r="N200" s="1">
        <v>3144.0</v>
      </c>
      <c r="O200" s="1" t="s">
        <v>49</v>
      </c>
      <c r="P200" s="1">
        <v>4.50010101E8</v>
      </c>
      <c r="Q200" s="1" t="str">
        <f>"450010101"</f>
        <v>450010101</v>
      </c>
      <c r="S200" s="1" t="str">
        <f t="shared" si="51"/>
        <v/>
      </c>
      <c r="T200" s="1">
        <v>4.50010101E8</v>
      </c>
      <c r="U200" s="1" t="str">
        <f>"0450010101"</f>
        <v>0450010101</v>
      </c>
      <c r="V200" s="1" t="s">
        <v>1782</v>
      </c>
      <c r="W200" s="1" t="s">
        <v>51</v>
      </c>
      <c r="Y200" s="1" t="s">
        <v>52</v>
      </c>
      <c r="Z200" s="1" t="s">
        <v>1783</v>
      </c>
      <c r="AB200" s="1" t="s">
        <v>54</v>
      </c>
      <c r="AC200" s="1" t="s">
        <v>55</v>
      </c>
      <c r="AD200" s="1">
        <v>2.0</v>
      </c>
      <c r="AE200" s="1" t="s">
        <v>56</v>
      </c>
      <c r="AF200" s="1">
        <v>2.0</v>
      </c>
      <c r="AG200" s="1" t="s">
        <v>1776</v>
      </c>
      <c r="AH200" s="2">
        <v>43291.0</v>
      </c>
      <c r="AI200" s="1" t="s">
        <v>85</v>
      </c>
      <c r="AJ200" s="1">
        <v>33.0</v>
      </c>
      <c r="AK200" s="1">
        <v>34.0</v>
      </c>
      <c r="AL200" s="1">
        <v>2.0</v>
      </c>
      <c r="AM200" s="1" t="s">
        <v>58</v>
      </c>
    </row>
    <row r="201" ht="15.75" customHeight="1">
      <c r="A201" s="1" t="s">
        <v>1784</v>
      </c>
      <c r="B201" s="1" t="s">
        <v>41</v>
      </c>
      <c r="C201" s="1" t="s">
        <v>1785</v>
      </c>
      <c r="D201" s="2">
        <v>43291.0</v>
      </c>
      <c r="E201" s="1" t="s">
        <v>1786</v>
      </c>
      <c r="F201" s="1" t="s">
        <v>1787</v>
      </c>
      <c r="G201" s="1" t="s">
        <v>1788</v>
      </c>
      <c r="H201" s="1" t="s">
        <v>1595</v>
      </c>
      <c r="L201" s="1" t="s">
        <v>1789</v>
      </c>
      <c r="M201" s="1" t="s">
        <v>1790</v>
      </c>
      <c r="N201" s="1">
        <v>3023.0</v>
      </c>
      <c r="O201" s="1" t="s">
        <v>49</v>
      </c>
      <c r="P201" s="1">
        <v>4.226148E8</v>
      </c>
      <c r="Q201" s="1" t="str">
        <f>"422614800"</f>
        <v>422614800</v>
      </c>
      <c r="S201" s="1" t="str">
        <f t="shared" si="51"/>
        <v/>
      </c>
      <c r="U201" s="1" t="str">
        <f>""</f>
        <v/>
      </c>
      <c r="V201" s="1" t="s">
        <v>1791</v>
      </c>
      <c r="W201" s="1" t="s">
        <v>70</v>
      </c>
      <c r="Y201" s="1" t="s">
        <v>115</v>
      </c>
      <c r="Z201" s="1" t="s">
        <v>1792</v>
      </c>
      <c r="AB201" s="1" t="s">
        <v>54</v>
      </c>
      <c r="AC201" s="1" t="s">
        <v>55</v>
      </c>
      <c r="AD201" s="1">
        <v>4.0</v>
      </c>
      <c r="AE201" s="1" t="s">
        <v>180</v>
      </c>
      <c r="AF201" s="1">
        <v>4.0</v>
      </c>
      <c r="AG201" s="1" t="s">
        <v>1785</v>
      </c>
      <c r="AH201" s="2">
        <v>43291.0</v>
      </c>
      <c r="AI201" s="1" t="s">
        <v>85</v>
      </c>
      <c r="AJ201" s="1">
        <v>36.0</v>
      </c>
      <c r="AK201" s="1">
        <v>37.0</v>
      </c>
      <c r="AL201" s="1">
        <v>2.0</v>
      </c>
      <c r="AM201" s="1" t="s">
        <v>58</v>
      </c>
    </row>
    <row r="202" ht="15.75" customHeight="1">
      <c r="A202" s="1" t="s">
        <v>1793</v>
      </c>
      <c r="B202" s="1" t="s">
        <v>41</v>
      </c>
      <c r="C202" s="1" t="s">
        <v>1794</v>
      </c>
      <c r="D202" s="2">
        <v>43292.0</v>
      </c>
      <c r="E202" s="1" t="s">
        <v>1795</v>
      </c>
      <c r="F202" s="1" t="s">
        <v>1796</v>
      </c>
      <c r="G202" s="1" t="s">
        <v>1797</v>
      </c>
      <c r="H202" s="1" t="s">
        <v>1798</v>
      </c>
      <c r="L202" s="1" t="s">
        <v>1799</v>
      </c>
      <c r="M202" s="1" t="s">
        <v>1800</v>
      </c>
      <c r="N202" s="1">
        <v>3361.0</v>
      </c>
      <c r="O202" s="1" t="s">
        <v>49</v>
      </c>
      <c r="P202" s="1">
        <v>4.01604946E8</v>
      </c>
      <c r="Q202" s="1" t="str">
        <f>"401604946"</f>
        <v>401604946</v>
      </c>
      <c r="S202" s="1" t="str">
        <f t="shared" si="51"/>
        <v/>
      </c>
      <c r="T202" s="1">
        <v>4.01604946E8</v>
      </c>
      <c r="U202" s="1" t="str">
        <f>"0401604946"</f>
        <v>0401604946</v>
      </c>
      <c r="V202" s="1" t="s">
        <v>1801</v>
      </c>
      <c r="W202" s="1" t="s">
        <v>51</v>
      </c>
      <c r="X202" s="1" t="s">
        <v>230</v>
      </c>
      <c r="Y202" s="1" t="s">
        <v>115</v>
      </c>
      <c r="Z202" s="1" t="s">
        <v>1802</v>
      </c>
      <c r="AB202" s="1" t="s">
        <v>54</v>
      </c>
      <c r="AC202" s="1" t="s">
        <v>55</v>
      </c>
      <c r="AD202" s="1">
        <v>3.0</v>
      </c>
      <c r="AE202" s="1" t="s">
        <v>56</v>
      </c>
      <c r="AF202" s="1">
        <v>3.0</v>
      </c>
      <c r="AG202" s="1" t="s">
        <v>1794</v>
      </c>
      <c r="AH202" s="2">
        <v>43292.0</v>
      </c>
      <c r="AI202" s="1" t="s">
        <v>1078</v>
      </c>
      <c r="AJ202" s="1">
        <v>28.0</v>
      </c>
      <c r="AK202" s="1">
        <v>29.0</v>
      </c>
      <c r="AL202" s="1">
        <v>2.0</v>
      </c>
      <c r="AM202" s="1" t="s">
        <v>58</v>
      </c>
    </row>
    <row r="203" ht="15.75" customHeight="1">
      <c r="A203" s="1" t="s">
        <v>1803</v>
      </c>
      <c r="B203" s="1" t="s">
        <v>41</v>
      </c>
      <c r="C203" s="1" t="s">
        <v>1804</v>
      </c>
      <c r="D203" s="2">
        <v>43292.0</v>
      </c>
      <c r="E203" s="1" t="s">
        <v>1650</v>
      </c>
      <c r="F203" s="1" t="s">
        <v>1651</v>
      </c>
      <c r="G203" s="1" t="s">
        <v>1652</v>
      </c>
      <c r="H203" s="1" t="s">
        <v>1653</v>
      </c>
      <c r="L203" s="1" t="s">
        <v>1654</v>
      </c>
      <c r="M203" s="1" t="s">
        <v>1655</v>
      </c>
      <c r="N203" s="1">
        <v>3016.0</v>
      </c>
      <c r="O203" s="1" t="s">
        <v>49</v>
      </c>
      <c r="P203" s="1">
        <v>4.70321822E8</v>
      </c>
      <c r="Q203" s="1" t="str">
        <f>"470321822"</f>
        <v>470321822</v>
      </c>
      <c r="S203" s="1" t="str">
        <f t="shared" si="51"/>
        <v/>
      </c>
      <c r="T203" s="1">
        <v>4.70321822E8</v>
      </c>
      <c r="U203" s="1" t="str">
        <f>"0470321822"</f>
        <v>0470321822</v>
      </c>
      <c r="V203" s="1" t="s">
        <v>1656</v>
      </c>
      <c r="W203" s="1" t="s">
        <v>51</v>
      </c>
      <c r="Y203" s="1" t="s">
        <v>115</v>
      </c>
      <c r="Z203" s="1" t="s">
        <v>1805</v>
      </c>
      <c r="AB203" s="1" t="s">
        <v>54</v>
      </c>
      <c r="AC203" s="1" t="s">
        <v>55</v>
      </c>
      <c r="AD203" s="1">
        <v>4.0</v>
      </c>
      <c r="AE203" s="1" t="s">
        <v>180</v>
      </c>
      <c r="AF203" s="1">
        <v>4.0</v>
      </c>
      <c r="AG203" s="1" t="s">
        <v>1804</v>
      </c>
      <c r="AH203" s="2">
        <v>43292.0</v>
      </c>
      <c r="AI203" s="1" t="s">
        <v>1298</v>
      </c>
      <c r="AJ203" s="1">
        <v>17.0</v>
      </c>
      <c r="AK203" s="1">
        <v>18.0</v>
      </c>
      <c r="AL203" s="1">
        <v>2.0</v>
      </c>
      <c r="AM203" s="1" t="s">
        <v>58</v>
      </c>
    </row>
    <row r="204" ht="15.75" customHeight="1">
      <c r="A204" s="1" t="s">
        <v>1806</v>
      </c>
      <c r="B204" s="1" t="s">
        <v>41</v>
      </c>
      <c r="C204" s="1" t="s">
        <v>1807</v>
      </c>
      <c r="D204" s="2">
        <v>43292.0</v>
      </c>
      <c r="E204" s="1" t="s">
        <v>1808</v>
      </c>
      <c r="F204" s="1" t="s">
        <v>1809</v>
      </c>
      <c r="G204" s="1" t="s">
        <v>1810</v>
      </c>
      <c r="H204" s="1" t="s">
        <v>1811</v>
      </c>
      <c r="L204" s="1" t="s">
        <v>548</v>
      </c>
      <c r="M204" s="1" t="s">
        <v>549</v>
      </c>
      <c r="N204" s="1">
        <v>3023.0</v>
      </c>
      <c r="O204" s="1" t="s">
        <v>49</v>
      </c>
      <c r="P204" s="1">
        <v>4.78943497E8</v>
      </c>
      <c r="Q204" s="1" t="str">
        <f>"478943497"</f>
        <v>478943497</v>
      </c>
      <c r="S204" s="1" t="str">
        <f t="shared" si="51"/>
        <v/>
      </c>
      <c r="U204" s="1" t="str">
        <f t="shared" ref="U204:U206" si="53">""</f>
        <v/>
      </c>
      <c r="V204" s="1" t="s">
        <v>1812</v>
      </c>
      <c r="W204" s="1" t="s">
        <v>70</v>
      </c>
      <c r="Y204" s="1" t="s">
        <v>115</v>
      </c>
      <c r="Z204" s="1" t="s">
        <v>1813</v>
      </c>
      <c r="AB204" s="1" t="s">
        <v>54</v>
      </c>
      <c r="AC204" s="1" t="s">
        <v>55</v>
      </c>
      <c r="AD204" s="1">
        <v>3.0</v>
      </c>
      <c r="AE204" s="1" t="s">
        <v>56</v>
      </c>
      <c r="AF204" s="1">
        <v>3.0</v>
      </c>
      <c r="AG204" s="1" t="s">
        <v>1807</v>
      </c>
      <c r="AH204" s="2">
        <v>43292.0</v>
      </c>
      <c r="AI204" s="1" t="s">
        <v>1003</v>
      </c>
      <c r="AJ204" s="1">
        <v>9.0</v>
      </c>
      <c r="AK204" s="1">
        <v>9.0</v>
      </c>
      <c r="AL204" s="1">
        <v>1.0</v>
      </c>
      <c r="AM204" s="1" t="s">
        <v>58</v>
      </c>
    </row>
    <row r="205" ht="15.75" customHeight="1">
      <c r="A205" s="1" t="s">
        <v>1814</v>
      </c>
      <c r="B205" s="1" t="s">
        <v>41</v>
      </c>
      <c r="C205" s="1" t="s">
        <v>1815</v>
      </c>
      <c r="D205" s="2">
        <v>43292.0</v>
      </c>
      <c r="E205" s="1" t="s">
        <v>1816</v>
      </c>
      <c r="F205" s="1" t="s">
        <v>1817</v>
      </c>
      <c r="G205" s="1" t="s">
        <v>1818</v>
      </c>
      <c r="H205" s="1" t="s">
        <v>1819</v>
      </c>
      <c r="L205" s="1" t="s">
        <v>1820</v>
      </c>
      <c r="M205" s="1" t="s">
        <v>146</v>
      </c>
      <c r="N205" s="1">
        <v>3106.0</v>
      </c>
      <c r="O205" s="1" t="s">
        <v>49</v>
      </c>
      <c r="P205" s="1">
        <v>4.2180425E8</v>
      </c>
      <c r="Q205" s="1" t="str">
        <f>"421804250"</f>
        <v>421804250</v>
      </c>
      <c r="S205" s="1" t="str">
        <f t="shared" si="51"/>
        <v/>
      </c>
      <c r="U205" s="1" t="str">
        <f t="shared" si="53"/>
        <v/>
      </c>
      <c r="V205" s="1" t="s">
        <v>1821</v>
      </c>
      <c r="W205" s="1" t="s">
        <v>51</v>
      </c>
      <c r="Y205" s="1" t="s">
        <v>115</v>
      </c>
      <c r="Z205" s="1" t="s">
        <v>1822</v>
      </c>
      <c r="AB205" s="1" t="s">
        <v>54</v>
      </c>
      <c r="AC205" s="1" t="s">
        <v>55</v>
      </c>
      <c r="AD205" s="1">
        <v>3.0</v>
      </c>
      <c r="AE205" s="1" t="s">
        <v>56</v>
      </c>
      <c r="AF205" s="1">
        <v>3.0</v>
      </c>
      <c r="AG205" s="1" t="s">
        <v>1815</v>
      </c>
      <c r="AH205" s="2">
        <v>43292.0</v>
      </c>
      <c r="AI205" s="1" t="s">
        <v>1078</v>
      </c>
      <c r="AJ205" s="1">
        <v>30.0</v>
      </c>
      <c r="AK205" s="1">
        <v>30.0</v>
      </c>
      <c r="AL205" s="1">
        <v>1.0</v>
      </c>
      <c r="AM205" s="1" t="s">
        <v>58</v>
      </c>
    </row>
    <row r="206" ht="15.75" customHeight="1">
      <c r="A206" s="1" t="s">
        <v>1823</v>
      </c>
      <c r="B206" s="1" t="s">
        <v>41</v>
      </c>
      <c r="C206" s="1" t="s">
        <v>129</v>
      </c>
      <c r="D206" s="2">
        <v>43292.0</v>
      </c>
      <c r="E206" s="1" t="s">
        <v>1824</v>
      </c>
      <c r="F206" s="1" t="s">
        <v>1825</v>
      </c>
      <c r="G206" s="1" t="s">
        <v>1826</v>
      </c>
      <c r="H206" s="1" t="s">
        <v>1827</v>
      </c>
      <c r="L206" s="1" t="s">
        <v>1828</v>
      </c>
      <c r="M206" s="1" t="s">
        <v>1829</v>
      </c>
      <c r="N206" s="1">
        <v>3041.0</v>
      </c>
      <c r="O206" s="1" t="s">
        <v>49</v>
      </c>
      <c r="P206" s="1">
        <v>4.70416898E8</v>
      </c>
      <c r="Q206" s="1" t="str">
        <f>"470416898"</f>
        <v>470416898</v>
      </c>
      <c r="S206" s="1" t="str">
        <f t="shared" si="51"/>
        <v/>
      </c>
      <c r="U206" s="1" t="str">
        <f t="shared" si="53"/>
        <v/>
      </c>
      <c r="V206" s="1" t="s">
        <v>1830</v>
      </c>
      <c r="W206" s="1" t="s">
        <v>51</v>
      </c>
      <c r="Y206" s="1" t="s">
        <v>115</v>
      </c>
      <c r="Z206" s="1" t="s">
        <v>1831</v>
      </c>
      <c r="AB206" s="1" t="s">
        <v>54</v>
      </c>
      <c r="AC206" s="1" t="s">
        <v>55</v>
      </c>
      <c r="AD206" s="1">
        <v>3.0</v>
      </c>
      <c r="AE206" s="1" t="s">
        <v>56</v>
      </c>
      <c r="AF206" s="1">
        <v>3.0</v>
      </c>
      <c r="AG206" s="1" t="s">
        <v>129</v>
      </c>
      <c r="AH206" s="2">
        <v>43292.0</v>
      </c>
      <c r="AI206" s="1" t="s">
        <v>670</v>
      </c>
      <c r="AJ206" s="1">
        <v>36.0</v>
      </c>
      <c r="AK206" s="1">
        <v>38.0</v>
      </c>
      <c r="AL206" s="1">
        <v>3.0</v>
      </c>
      <c r="AM206" s="1" t="s">
        <v>58</v>
      </c>
    </row>
    <row r="207" ht="15.75" customHeight="1">
      <c r="A207" s="1" t="s">
        <v>1832</v>
      </c>
      <c r="B207" s="1" t="s">
        <v>41</v>
      </c>
      <c r="C207" s="1" t="s">
        <v>1833</v>
      </c>
      <c r="D207" s="2">
        <v>43292.0</v>
      </c>
      <c r="E207" s="1" t="s">
        <v>1834</v>
      </c>
      <c r="F207" s="1" t="s">
        <v>1835</v>
      </c>
      <c r="G207" s="1" t="s">
        <v>1836</v>
      </c>
      <c r="H207" s="1" t="s">
        <v>687</v>
      </c>
      <c r="L207" s="1" t="s">
        <v>1837</v>
      </c>
      <c r="M207" s="1" t="s">
        <v>1250</v>
      </c>
      <c r="N207" s="1">
        <v>3008.0</v>
      </c>
      <c r="O207" s="1" t="s">
        <v>49</v>
      </c>
      <c r="P207" s="1">
        <v>4.3152627E8</v>
      </c>
      <c r="Q207" s="1" t="str">
        <f>"431526270"</f>
        <v>431526270</v>
      </c>
      <c r="S207" s="1" t="str">
        <f t="shared" si="51"/>
        <v/>
      </c>
      <c r="T207" s="1">
        <v>6.143152627E10</v>
      </c>
      <c r="U207" s="1" t="str">
        <f>"61431526270"</f>
        <v>61431526270</v>
      </c>
      <c r="V207" s="1" t="s">
        <v>1838</v>
      </c>
      <c r="W207" s="1" t="s">
        <v>70</v>
      </c>
      <c r="Y207" s="1" t="s">
        <v>115</v>
      </c>
      <c r="Z207" s="1" t="s">
        <v>1839</v>
      </c>
      <c r="AB207" s="1" t="s">
        <v>54</v>
      </c>
      <c r="AC207" s="1" t="s">
        <v>55</v>
      </c>
      <c r="AD207" s="1">
        <v>3.0</v>
      </c>
      <c r="AE207" s="1" t="s">
        <v>56</v>
      </c>
      <c r="AF207" s="1">
        <v>3.0</v>
      </c>
      <c r="AG207" s="1" t="s">
        <v>1833</v>
      </c>
      <c r="AH207" s="2">
        <v>43292.0</v>
      </c>
      <c r="AI207" s="1" t="s">
        <v>639</v>
      </c>
      <c r="AJ207" s="1">
        <v>40.0</v>
      </c>
      <c r="AK207" s="1">
        <v>41.0</v>
      </c>
      <c r="AL207" s="1">
        <v>2.0</v>
      </c>
      <c r="AM207" s="1" t="s">
        <v>58</v>
      </c>
    </row>
    <row r="208" ht="15.75" customHeight="1">
      <c r="A208" s="1" t="s">
        <v>1840</v>
      </c>
      <c r="B208" s="1" t="s">
        <v>41</v>
      </c>
      <c r="C208" s="1" t="s">
        <v>1841</v>
      </c>
      <c r="D208" s="2">
        <v>43292.0</v>
      </c>
      <c r="E208" s="1" t="s">
        <v>1842</v>
      </c>
      <c r="F208" s="1" t="s">
        <v>1843</v>
      </c>
      <c r="G208" s="1" t="s">
        <v>1844</v>
      </c>
      <c r="H208" s="1" t="s">
        <v>1845</v>
      </c>
      <c r="L208" s="1" t="s">
        <v>1846</v>
      </c>
      <c r="M208" s="1" t="s">
        <v>1847</v>
      </c>
      <c r="N208" s="1">
        <v>3065.0</v>
      </c>
      <c r="O208" s="1" t="s">
        <v>49</v>
      </c>
      <c r="P208" s="1">
        <v>4.14915515E8</v>
      </c>
      <c r="Q208" s="1" t="str">
        <f>"414915515"</f>
        <v>414915515</v>
      </c>
      <c r="S208" s="1" t="str">
        <f t="shared" si="51"/>
        <v/>
      </c>
      <c r="T208" s="1">
        <v>4.14915515E8</v>
      </c>
      <c r="U208" s="1" t="str">
        <f>"0414915515"</f>
        <v>0414915515</v>
      </c>
      <c r="V208" s="1" t="s">
        <v>1848</v>
      </c>
      <c r="W208" s="1" t="s">
        <v>70</v>
      </c>
      <c r="Y208" s="1" t="s">
        <v>52</v>
      </c>
      <c r="Z208" s="1" t="s">
        <v>1849</v>
      </c>
      <c r="AB208" s="1" t="s">
        <v>54</v>
      </c>
      <c r="AC208" s="1" t="s">
        <v>55</v>
      </c>
      <c r="AD208" s="1">
        <v>3.0</v>
      </c>
      <c r="AE208" s="1" t="s">
        <v>56</v>
      </c>
      <c r="AF208" s="1">
        <v>3.0</v>
      </c>
      <c r="AG208" s="1" t="s">
        <v>1841</v>
      </c>
      <c r="AH208" s="2">
        <v>43292.0</v>
      </c>
      <c r="AI208" s="1" t="s">
        <v>1149</v>
      </c>
      <c r="AJ208" s="1">
        <v>7.0</v>
      </c>
      <c r="AK208" s="1">
        <v>8.0</v>
      </c>
      <c r="AL208" s="1">
        <v>2.0</v>
      </c>
      <c r="AM208" s="1" t="s">
        <v>58</v>
      </c>
    </row>
    <row r="209" ht="15.75" customHeight="1">
      <c r="A209" s="1" t="s">
        <v>1850</v>
      </c>
      <c r="B209" s="1" t="s">
        <v>41</v>
      </c>
      <c r="C209" s="1" t="s">
        <v>1851</v>
      </c>
      <c r="D209" s="2">
        <v>43292.0</v>
      </c>
      <c r="E209" s="1" t="s">
        <v>1555</v>
      </c>
      <c r="F209" s="1" t="s">
        <v>1556</v>
      </c>
      <c r="G209" s="1" t="s">
        <v>1557</v>
      </c>
      <c r="H209" s="1" t="s">
        <v>1155</v>
      </c>
      <c r="L209" s="1" t="s">
        <v>1558</v>
      </c>
      <c r="M209" s="1" t="s">
        <v>1559</v>
      </c>
      <c r="N209" s="1">
        <v>3166.0</v>
      </c>
      <c r="O209" s="1" t="s">
        <v>49</v>
      </c>
      <c r="P209" s="1">
        <v>4.26991212E8</v>
      </c>
      <c r="Q209" s="1" t="str">
        <f>"426991212"</f>
        <v>426991212</v>
      </c>
      <c r="S209" s="1" t="str">
        <f t="shared" si="51"/>
        <v/>
      </c>
      <c r="U209" s="1" t="str">
        <f t="shared" ref="U209:U214" si="54">""</f>
        <v/>
      </c>
      <c r="V209" s="1" t="s">
        <v>1560</v>
      </c>
      <c r="W209" s="1" t="s">
        <v>70</v>
      </c>
      <c r="Y209" s="1" t="s">
        <v>115</v>
      </c>
      <c r="Z209" s="1" t="s">
        <v>1852</v>
      </c>
      <c r="AB209" s="1" t="s">
        <v>54</v>
      </c>
      <c r="AC209" s="1" t="s">
        <v>55</v>
      </c>
      <c r="AD209" s="1">
        <v>4.0</v>
      </c>
      <c r="AE209" s="1" t="s">
        <v>180</v>
      </c>
      <c r="AF209" s="1">
        <v>4.0</v>
      </c>
      <c r="AG209" s="1" t="s">
        <v>1851</v>
      </c>
      <c r="AH209" s="2">
        <v>43292.0</v>
      </c>
      <c r="AI209" s="1" t="s">
        <v>1298</v>
      </c>
      <c r="AJ209" s="1">
        <v>12.0</v>
      </c>
      <c r="AK209" s="1">
        <v>12.0</v>
      </c>
      <c r="AL209" s="1">
        <v>1.0</v>
      </c>
      <c r="AM209" s="1" t="s">
        <v>58</v>
      </c>
    </row>
    <row r="210" ht="15.75" customHeight="1">
      <c r="A210" s="1" t="s">
        <v>1853</v>
      </c>
      <c r="B210" s="1" t="s">
        <v>41</v>
      </c>
      <c r="C210" s="1" t="s">
        <v>1854</v>
      </c>
      <c r="D210" s="2">
        <v>43292.0</v>
      </c>
      <c r="E210" s="1" t="s">
        <v>1855</v>
      </c>
      <c r="F210" s="1" t="s">
        <v>1856</v>
      </c>
      <c r="G210" s="1" t="s">
        <v>1857</v>
      </c>
      <c r="H210" s="1" t="s">
        <v>1715</v>
      </c>
      <c r="L210" s="1" t="s">
        <v>1858</v>
      </c>
      <c r="M210" s="1" t="s">
        <v>156</v>
      </c>
      <c r="N210" s="1">
        <v>3000.0</v>
      </c>
      <c r="O210" s="1" t="s">
        <v>49</v>
      </c>
      <c r="P210" s="1">
        <v>4.35848386E8</v>
      </c>
      <c r="Q210" s="1" t="str">
        <f>"435848386"</f>
        <v>435848386</v>
      </c>
      <c r="S210" s="1" t="str">
        <f t="shared" si="51"/>
        <v/>
      </c>
      <c r="U210" s="1" t="str">
        <f t="shared" si="54"/>
        <v/>
      </c>
      <c r="V210" s="1" t="s">
        <v>1859</v>
      </c>
      <c r="W210" s="1" t="s">
        <v>51</v>
      </c>
      <c r="Y210" s="1" t="s">
        <v>115</v>
      </c>
      <c r="Z210" s="1" t="s">
        <v>1860</v>
      </c>
      <c r="AB210" s="1" t="s">
        <v>54</v>
      </c>
      <c r="AC210" s="1" t="s">
        <v>55</v>
      </c>
      <c r="AD210" s="1">
        <v>4.0</v>
      </c>
      <c r="AE210" s="1" t="s">
        <v>180</v>
      </c>
      <c r="AF210" s="1">
        <v>4.0</v>
      </c>
      <c r="AG210" s="1" t="s">
        <v>1854</v>
      </c>
      <c r="AH210" s="2">
        <v>43292.0</v>
      </c>
      <c r="AI210" s="1" t="s">
        <v>138</v>
      </c>
      <c r="AJ210" s="1">
        <v>26.0</v>
      </c>
      <c r="AK210" s="1">
        <v>26.0</v>
      </c>
      <c r="AL210" s="1">
        <v>1.0</v>
      </c>
      <c r="AM210" s="1" t="s">
        <v>58</v>
      </c>
    </row>
    <row r="211" ht="15.75" customHeight="1">
      <c r="A211" s="1" t="s">
        <v>1861</v>
      </c>
      <c r="B211" s="1" t="s">
        <v>41</v>
      </c>
      <c r="C211" s="1" t="s">
        <v>1862</v>
      </c>
      <c r="D211" s="2">
        <v>43292.0</v>
      </c>
      <c r="E211" s="1" t="s">
        <v>1863</v>
      </c>
      <c r="F211" s="1" t="s">
        <v>1864</v>
      </c>
      <c r="G211" s="1" t="s">
        <v>1865</v>
      </c>
      <c r="H211" s="1" t="s">
        <v>1866</v>
      </c>
      <c r="L211" s="1" t="s">
        <v>1867</v>
      </c>
      <c r="M211" s="1" t="s">
        <v>1868</v>
      </c>
      <c r="N211" s="1">
        <v>3028.0</v>
      </c>
      <c r="O211" s="1" t="s">
        <v>49</v>
      </c>
      <c r="P211" s="1">
        <v>4.24080037E8</v>
      </c>
      <c r="Q211" s="1" t="str">
        <f>"0424080037"</f>
        <v>0424080037</v>
      </c>
      <c r="S211" s="1" t="str">
        <f t="shared" si="51"/>
        <v/>
      </c>
      <c r="U211" s="1" t="str">
        <f t="shared" si="54"/>
        <v/>
      </c>
      <c r="V211" s="1" t="s">
        <v>1375</v>
      </c>
      <c r="W211" s="1" t="s">
        <v>70</v>
      </c>
      <c r="Y211" s="1" t="s">
        <v>1376</v>
      </c>
      <c r="Z211" s="1" t="s">
        <v>1869</v>
      </c>
      <c r="AB211" s="1" t="s">
        <v>54</v>
      </c>
      <c r="AC211" s="1" t="s">
        <v>55</v>
      </c>
      <c r="AD211" s="1">
        <v>3.0</v>
      </c>
      <c r="AE211" s="1" t="s">
        <v>56</v>
      </c>
      <c r="AF211" s="1">
        <v>3.0</v>
      </c>
      <c r="AG211" s="1" t="s">
        <v>1862</v>
      </c>
      <c r="AH211" s="2">
        <v>43292.0</v>
      </c>
      <c r="AI211" s="1" t="s">
        <v>670</v>
      </c>
      <c r="AJ211" s="1">
        <v>1.0</v>
      </c>
      <c r="AK211" s="1">
        <v>3.0</v>
      </c>
      <c r="AL211" s="1">
        <v>3.0</v>
      </c>
      <c r="AM211" s="1" t="s">
        <v>58</v>
      </c>
    </row>
    <row r="212" ht="15.75" customHeight="1">
      <c r="A212" s="1" t="s">
        <v>1870</v>
      </c>
      <c r="B212" s="1" t="s">
        <v>41</v>
      </c>
      <c r="C212" s="1" t="s">
        <v>1871</v>
      </c>
      <c r="D212" s="2">
        <v>43292.0</v>
      </c>
      <c r="E212" s="1" t="s">
        <v>1872</v>
      </c>
      <c r="F212" s="1" t="s">
        <v>1873</v>
      </c>
      <c r="G212" s="1" t="s">
        <v>1874</v>
      </c>
      <c r="H212" s="1" t="s">
        <v>735</v>
      </c>
      <c r="L212" s="1" t="s">
        <v>1875</v>
      </c>
      <c r="M212" s="1" t="s">
        <v>1876</v>
      </c>
      <c r="N212" s="1">
        <v>6060.0</v>
      </c>
      <c r="O212" s="1" t="s">
        <v>49</v>
      </c>
      <c r="P212" s="1">
        <v>4.22697281E8</v>
      </c>
      <c r="Q212" s="1" t="str">
        <f>"422697281"</f>
        <v>422697281</v>
      </c>
      <c r="S212" s="1" t="str">
        <f t="shared" si="51"/>
        <v/>
      </c>
      <c r="U212" s="1" t="str">
        <f t="shared" si="54"/>
        <v/>
      </c>
      <c r="V212" s="1" t="s">
        <v>1877</v>
      </c>
      <c r="W212" s="1" t="s">
        <v>51</v>
      </c>
      <c r="Y212" s="1" t="s">
        <v>52</v>
      </c>
      <c r="Z212" s="1" t="s">
        <v>1878</v>
      </c>
      <c r="AB212" s="1" t="s">
        <v>54</v>
      </c>
      <c r="AC212" s="1" t="s">
        <v>55</v>
      </c>
      <c r="AD212" s="1">
        <v>5.0</v>
      </c>
      <c r="AE212" s="1" t="s">
        <v>180</v>
      </c>
      <c r="AF212" s="1">
        <v>4.0</v>
      </c>
      <c r="AG212" s="1" t="s">
        <v>1871</v>
      </c>
      <c r="AH212" s="2">
        <v>43292.0</v>
      </c>
      <c r="AI212" s="1" t="s">
        <v>631</v>
      </c>
      <c r="AJ212" s="1">
        <v>15.0</v>
      </c>
      <c r="AK212" s="1">
        <v>18.0</v>
      </c>
      <c r="AL212" s="1">
        <v>4.0</v>
      </c>
      <c r="AM212" s="1" t="s">
        <v>58</v>
      </c>
    </row>
    <row r="213" ht="15.75" customHeight="1">
      <c r="A213" s="1" t="s">
        <v>1879</v>
      </c>
      <c r="B213" s="1" t="s">
        <v>41</v>
      </c>
      <c r="C213" s="1" t="s">
        <v>1133</v>
      </c>
      <c r="D213" s="2">
        <v>43292.0</v>
      </c>
      <c r="E213" s="1" t="s">
        <v>1880</v>
      </c>
      <c r="F213" s="1" t="s">
        <v>1881</v>
      </c>
      <c r="G213" s="1" t="s">
        <v>1882</v>
      </c>
      <c r="H213" s="1" t="s">
        <v>1883</v>
      </c>
      <c r="L213" s="1" t="s">
        <v>1884</v>
      </c>
      <c r="M213" s="1" t="s">
        <v>146</v>
      </c>
      <c r="N213" s="1">
        <v>3106.0</v>
      </c>
      <c r="O213" s="1" t="s">
        <v>49</v>
      </c>
      <c r="P213" s="1">
        <v>4.47474797E8</v>
      </c>
      <c r="Q213" s="1" t="str">
        <f>"447474797"</f>
        <v>447474797</v>
      </c>
      <c r="S213" s="1" t="str">
        <f t="shared" si="51"/>
        <v/>
      </c>
      <c r="U213" s="1" t="str">
        <f t="shared" si="54"/>
        <v/>
      </c>
      <c r="V213" s="1" t="s">
        <v>1885</v>
      </c>
      <c r="W213" s="1" t="s">
        <v>70</v>
      </c>
      <c r="Y213" s="1" t="s">
        <v>115</v>
      </c>
      <c r="Z213" s="1" t="s">
        <v>1886</v>
      </c>
      <c r="AB213" s="1" t="s">
        <v>54</v>
      </c>
      <c r="AC213" s="1" t="s">
        <v>55</v>
      </c>
      <c r="AD213" s="1">
        <v>4.0</v>
      </c>
      <c r="AE213" s="1" t="s">
        <v>180</v>
      </c>
      <c r="AF213" s="1">
        <v>4.0</v>
      </c>
      <c r="AG213" s="1" t="s">
        <v>1133</v>
      </c>
      <c r="AH213" s="2">
        <v>43292.0</v>
      </c>
      <c r="AI213" s="1" t="s">
        <v>138</v>
      </c>
      <c r="AJ213" s="1">
        <v>9.0</v>
      </c>
      <c r="AK213" s="1">
        <v>12.0</v>
      </c>
      <c r="AL213" s="1">
        <v>4.0</v>
      </c>
      <c r="AM213" s="1" t="s">
        <v>58</v>
      </c>
    </row>
    <row r="214" ht="15.75" customHeight="1">
      <c r="A214" s="1" t="s">
        <v>1887</v>
      </c>
      <c r="B214" s="1" t="s">
        <v>41</v>
      </c>
      <c r="C214" s="1" t="s">
        <v>1888</v>
      </c>
      <c r="D214" s="2">
        <v>43292.0</v>
      </c>
      <c r="E214" s="1" t="s">
        <v>1889</v>
      </c>
      <c r="F214" s="1" t="s">
        <v>1890</v>
      </c>
      <c r="G214" s="1" t="s">
        <v>1891</v>
      </c>
      <c r="H214" s="1" t="s">
        <v>1892</v>
      </c>
      <c r="L214" s="1" t="s">
        <v>1893</v>
      </c>
      <c r="M214" s="1" t="s">
        <v>146</v>
      </c>
      <c r="N214" s="1">
        <v>3106.0</v>
      </c>
      <c r="O214" s="1" t="s">
        <v>49</v>
      </c>
      <c r="P214" s="1">
        <v>4.01063774E8</v>
      </c>
      <c r="Q214" s="1" t="str">
        <f>"401063774"</f>
        <v>401063774</v>
      </c>
      <c r="S214" s="1" t="str">
        <f t="shared" si="51"/>
        <v/>
      </c>
      <c r="U214" s="1" t="str">
        <f t="shared" si="54"/>
        <v/>
      </c>
      <c r="V214" s="1" t="s">
        <v>1894</v>
      </c>
      <c r="W214" s="1" t="s">
        <v>70</v>
      </c>
      <c r="Y214" s="1" t="s">
        <v>52</v>
      </c>
      <c r="Z214" s="1" t="s">
        <v>1895</v>
      </c>
      <c r="AB214" s="1" t="s">
        <v>54</v>
      </c>
      <c r="AC214" s="1" t="s">
        <v>55</v>
      </c>
      <c r="AD214" s="1">
        <v>3.0</v>
      </c>
      <c r="AE214" s="1" t="s">
        <v>56</v>
      </c>
      <c r="AF214" s="1">
        <v>3.0</v>
      </c>
      <c r="AG214" s="1" t="s">
        <v>1888</v>
      </c>
      <c r="AH214" s="2">
        <v>43292.0</v>
      </c>
      <c r="AI214" s="1" t="s">
        <v>1003</v>
      </c>
      <c r="AJ214" s="1">
        <v>6.0</v>
      </c>
      <c r="AK214" s="1">
        <v>8.0</v>
      </c>
      <c r="AL214" s="1">
        <v>3.0</v>
      </c>
      <c r="AM214" s="1" t="s">
        <v>58</v>
      </c>
    </row>
    <row r="215" ht="15.75" customHeight="1">
      <c r="A215" s="1" t="s">
        <v>1896</v>
      </c>
      <c r="B215" s="1" t="s">
        <v>41</v>
      </c>
      <c r="C215" s="1" t="s">
        <v>1897</v>
      </c>
      <c r="D215" s="2">
        <v>43292.0</v>
      </c>
      <c r="E215" s="1" t="s">
        <v>1898</v>
      </c>
      <c r="F215" s="1" t="s">
        <v>1899</v>
      </c>
      <c r="G215" s="1" t="s">
        <v>1900</v>
      </c>
      <c r="H215" s="1" t="s">
        <v>1750</v>
      </c>
      <c r="L215" s="1" t="s">
        <v>1901</v>
      </c>
      <c r="M215" s="1" t="s">
        <v>1902</v>
      </c>
      <c r="N215" s="1">
        <v>3067.0</v>
      </c>
      <c r="O215" s="1" t="s">
        <v>49</v>
      </c>
      <c r="P215" s="1">
        <v>4.47380877E8</v>
      </c>
      <c r="Q215" s="1" t="str">
        <f>"447380877"</f>
        <v>447380877</v>
      </c>
      <c r="S215" s="1" t="str">
        <f t="shared" si="51"/>
        <v/>
      </c>
      <c r="T215" s="1">
        <v>4.47380877E8</v>
      </c>
      <c r="U215" s="1" t="str">
        <f>"0447380877"</f>
        <v>0447380877</v>
      </c>
      <c r="V215" s="1" t="s">
        <v>1903</v>
      </c>
      <c r="W215" s="1" t="s">
        <v>70</v>
      </c>
      <c r="Y215" s="1" t="s">
        <v>52</v>
      </c>
      <c r="Z215" s="1" t="s">
        <v>1904</v>
      </c>
      <c r="AB215" s="1" t="s">
        <v>54</v>
      </c>
      <c r="AC215" s="1" t="s">
        <v>55</v>
      </c>
      <c r="AD215" s="1">
        <v>5.0</v>
      </c>
      <c r="AE215" s="1" t="s">
        <v>180</v>
      </c>
      <c r="AF215" s="1">
        <v>4.0</v>
      </c>
      <c r="AG215" s="1" t="s">
        <v>1897</v>
      </c>
      <c r="AH215" s="2">
        <v>43292.0</v>
      </c>
      <c r="AI215" s="1" t="s">
        <v>631</v>
      </c>
      <c r="AJ215" s="1">
        <v>22.0</v>
      </c>
      <c r="AK215" s="1">
        <v>27.0</v>
      </c>
      <c r="AL215" s="1">
        <v>6.0</v>
      </c>
      <c r="AM215" s="1" t="s">
        <v>58</v>
      </c>
    </row>
    <row r="216" ht="15.75" customHeight="1">
      <c r="A216" s="1" t="s">
        <v>1905</v>
      </c>
      <c r="B216" s="1" t="s">
        <v>41</v>
      </c>
      <c r="C216" s="1" t="s">
        <v>1906</v>
      </c>
      <c r="D216" s="2">
        <v>43293.0</v>
      </c>
      <c r="E216" s="1" t="s">
        <v>1907</v>
      </c>
      <c r="F216" s="1" t="s">
        <v>1908</v>
      </c>
      <c r="G216" s="1" t="s">
        <v>1909</v>
      </c>
      <c r="H216" s="1" t="s">
        <v>237</v>
      </c>
      <c r="L216" s="1" t="s">
        <v>1910</v>
      </c>
      <c r="M216" s="1" t="s">
        <v>146</v>
      </c>
      <c r="N216" s="1">
        <v>3106.0</v>
      </c>
      <c r="O216" s="1" t="s">
        <v>49</v>
      </c>
      <c r="P216" s="1">
        <v>4.25807993E8</v>
      </c>
      <c r="Q216" s="1" t="str">
        <f>"425807993"</f>
        <v>425807993</v>
      </c>
      <c r="S216" s="1" t="str">
        <f t="shared" si="51"/>
        <v/>
      </c>
      <c r="T216" s="1">
        <v>4.25807993E8</v>
      </c>
      <c r="U216" s="1" t="str">
        <f>"0425807993"</f>
        <v>0425807993</v>
      </c>
      <c r="V216" s="1" t="s">
        <v>1911</v>
      </c>
      <c r="W216" s="1" t="s">
        <v>51</v>
      </c>
      <c r="Y216" s="1" t="s">
        <v>52</v>
      </c>
      <c r="Z216" s="1" t="s">
        <v>1912</v>
      </c>
      <c r="AB216" s="1" t="s">
        <v>54</v>
      </c>
      <c r="AC216" s="1" t="s">
        <v>55</v>
      </c>
      <c r="AD216" s="1">
        <v>3.0</v>
      </c>
      <c r="AE216" s="1" t="s">
        <v>56</v>
      </c>
      <c r="AF216" s="1">
        <v>3.0</v>
      </c>
      <c r="AG216" s="1" t="s">
        <v>1906</v>
      </c>
      <c r="AH216" s="2">
        <v>43293.0</v>
      </c>
      <c r="AI216" s="1" t="s">
        <v>670</v>
      </c>
      <c r="AJ216" s="1">
        <v>42.0</v>
      </c>
      <c r="AK216" s="1">
        <v>42.0</v>
      </c>
      <c r="AL216" s="1">
        <v>1.0</v>
      </c>
      <c r="AM216" s="1" t="s">
        <v>58</v>
      </c>
    </row>
    <row r="217" ht="15.75" customHeight="1">
      <c r="A217" s="1" t="s">
        <v>1913</v>
      </c>
      <c r="B217" s="1" t="s">
        <v>41</v>
      </c>
      <c r="C217" s="1" t="s">
        <v>1914</v>
      </c>
      <c r="D217" s="2">
        <v>43293.0</v>
      </c>
      <c r="E217" s="1" t="s">
        <v>1915</v>
      </c>
      <c r="F217" s="1" t="s">
        <v>1916</v>
      </c>
      <c r="G217" s="1" t="s">
        <v>1917</v>
      </c>
      <c r="H217" s="1" t="s">
        <v>865</v>
      </c>
      <c r="L217" s="1" t="s">
        <v>1918</v>
      </c>
      <c r="M217" s="1" t="s">
        <v>1919</v>
      </c>
      <c r="N217" s="1">
        <v>4006.0</v>
      </c>
      <c r="O217" s="1" t="s">
        <v>49</v>
      </c>
      <c r="P217" s="1">
        <v>4.87673084E8</v>
      </c>
      <c r="Q217" s="1" t="str">
        <f>"487673084"</f>
        <v>487673084</v>
      </c>
      <c r="S217" s="1" t="str">
        <f t="shared" si="51"/>
        <v/>
      </c>
      <c r="U217" s="1" t="str">
        <f t="shared" ref="U217:U219" si="55">""</f>
        <v/>
      </c>
      <c r="V217" s="1" t="s">
        <v>1920</v>
      </c>
      <c r="W217" s="1" t="s">
        <v>70</v>
      </c>
      <c r="Y217" s="1" t="s">
        <v>52</v>
      </c>
      <c r="Z217" s="1" t="s">
        <v>1921</v>
      </c>
      <c r="AB217" s="1" t="s">
        <v>54</v>
      </c>
      <c r="AC217" s="1" t="s">
        <v>55</v>
      </c>
      <c r="AD217" s="1">
        <v>3.0</v>
      </c>
      <c r="AE217" s="1" t="s">
        <v>56</v>
      </c>
      <c r="AF217" s="1">
        <v>3.0</v>
      </c>
      <c r="AG217" s="1" t="s">
        <v>1914</v>
      </c>
      <c r="AH217" s="2">
        <v>43293.0</v>
      </c>
      <c r="AI217" s="1" t="s">
        <v>490</v>
      </c>
      <c r="AJ217" s="1">
        <v>41.0</v>
      </c>
      <c r="AK217" s="1">
        <v>42.0</v>
      </c>
      <c r="AL217" s="1">
        <v>2.0</v>
      </c>
      <c r="AM217" s="1" t="s">
        <v>58</v>
      </c>
    </row>
    <row r="218" ht="15.75" customHeight="1">
      <c r="A218" s="1" t="s">
        <v>1922</v>
      </c>
      <c r="B218" s="1" t="s">
        <v>41</v>
      </c>
      <c r="C218" s="1" t="s">
        <v>1923</v>
      </c>
      <c r="D218" s="2">
        <v>43293.0</v>
      </c>
      <c r="E218" s="1" t="s">
        <v>1924</v>
      </c>
      <c r="F218" s="1" t="s">
        <v>1925</v>
      </c>
      <c r="G218" s="1" t="s">
        <v>1770</v>
      </c>
      <c r="H218" s="1" t="s">
        <v>1926</v>
      </c>
      <c r="L218" s="1" t="s">
        <v>1927</v>
      </c>
      <c r="M218" s="1" t="s">
        <v>1928</v>
      </c>
      <c r="N218" s="1">
        <v>3977.0</v>
      </c>
      <c r="O218" s="1" t="s">
        <v>49</v>
      </c>
      <c r="P218" s="1">
        <v>4.3086027E8</v>
      </c>
      <c r="Q218" s="1" t="str">
        <f>"430860270"</f>
        <v>430860270</v>
      </c>
      <c r="S218" s="1" t="str">
        <f t="shared" si="51"/>
        <v/>
      </c>
      <c r="U218" s="1" t="str">
        <f t="shared" si="55"/>
        <v/>
      </c>
      <c r="V218" s="1" t="s">
        <v>1929</v>
      </c>
      <c r="W218" s="1" t="s">
        <v>51</v>
      </c>
      <c r="Y218" s="1" t="s">
        <v>115</v>
      </c>
      <c r="Z218" s="1" t="s">
        <v>1930</v>
      </c>
      <c r="AB218" s="1" t="s">
        <v>54</v>
      </c>
      <c r="AC218" s="1" t="s">
        <v>55</v>
      </c>
      <c r="AD218" s="1">
        <v>3.0</v>
      </c>
      <c r="AE218" s="1" t="s">
        <v>56</v>
      </c>
      <c r="AF218" s="1">
        <v>3.0</v>
      </c>
      <c r="AG218" s="1" t="s">
        <v>1923</v>
      </c>
      <c r="AH218" s="2">
        <v>43293.0</v>
      </c>
      <c r="AI218" s="1" t="s">
        <v>1078</v>
      </c>
      <c r="AJ218" s="1">
        <v>1.0</v>
      </c>
      <c r="AK218" s="1">
        <v>5.0</v>
      </c>
      <c r="AL218" s="1">
        <v>5.0</v>
      </c>
      <c r="AM218" s="1" t="s">
        <v>58</v>
      </c>
    </row>
    <row r="219" ht="15.75" customHeight="1">
      <c r="A219" s="1" t="s">
        <v>1931</v>
      </c>
      <c r="B219" s="1" t="s">
        <v>41</v>
      </c>
      <c r="C219" s="1" t="s">
        <v>1932</v>
      </c>
      <c r="D219" s="2">
        <v>43293.0</v>
      </c>
      <c r="E219" s="1" t="s">
        <v>1933</v>
      </c>
      <c r="F219" s="1" t="s">
        <v>1934</v>
      </c>
      <c r="G219" s="1" t="s">
        <v>1935</v>
      </c>
      <c r="H219" s="1" t="s">
        <v>1936</v>
      </c>
      <c r="L219" s="1" t="s">
        <v>1937</v>
      </c>
      <c r="M219" s="1" t="s">
        <v>1938</v>
      </c>
      <c r="N219" s="1">
        <v>3185.0</v>
      </c>
      <c r="O219" s="1" t="s">
        <v>49</v>
      </c>
      <c r="P219" s="1">
        <v>4.51149989E8</v>
      </c>
      <c r="Q219" s="1" t="str">
        <f>"451149989"</f>
        <v>451149989</v>
      </c>
      <c r="S219" s="1" t="str">
        <f t="shared" si="51"/>
        <v/>
      </c>
      <c r="U219" s="1" t="str">
        <f t="shared" si="55"/>
        <v/>
      </c>
      <c r="V219" s="1" t="s">
        <v>1939</v>
      </c>
      <c r="W219" s="1" t="s">
        <v>70</v>
      </c>
      <c r="Y219" s="1" t="s">
        <v>52</v>
      </c>
      <c r="Z219" s="1" t="s">
        <v>1940</v>
      </c>
      <c r="AB219" s="1" t="s">
        <v>54</v>
      </c>
      <c r="AC219" s="1" t="s">
        <v>55</v>
      </c>
      <c r="AD219" s="1">
        <v>4.0</v>
      </c>
      <c r="AE219" s="1" t="s">
        <v>180</v>
      </c>
      <c r="AF219" s="1">
        <v>4.0</v>
      </c>
      <c r="AG219" s="1" t="s">
        <v>1932</v>
      </c>
      <c r="AH219" s="2">
        <v>43293.0</v>
      </c>
      <c r="AI219" s="1" t="s">
        <v>72</v>
      </c>
      <c r="AJ219" s="1">
        <v>3.0</v>
      </c>
      <c r="AK219" s="1">
        <v>5.0</v>
      </c>
      <c r="AL219" s="1">
        <v>3.0</v>
      </c>
      <c r="AM219" s="1" t="s">
        <v>58</v>
      </c>
      <c r="AN219" s="1" t="s">
        <v>1667</v>
      </c>
    </row>
    <row r="220" ht="15.75" customHeight="1">
      <c r="A220" s="1" t="s">
        <v>1941</v>
      </c>
      <c r="B220" s="1" t="s">
        <v>41</v>
      </c>
      <c r="C220" s="1" t="s">
        <v>1942</v>
      </c>
      <c r="D220" s="2">
        <v>43293.0</v>
      </c>
      <c r="E220" s="1" t="s">
        <v>1943</v>
      </c>
      <c r="F220" s="1" t="s">
        <v>1944</v>
      </c>
      <c r="G220" s="1" t="s">
        <v>1945</v>
      </c>
      <c r="H220" s="1" t="s">
        <v>1946</v>
      </c>
      <c r="L220" s="1" t="s">
        <v>1947</v>
      </c>
      <c r="M220" s="1" t="s">
        <v>48</v>
      </c>
      <c r="N220" s="1">
        <v>3073.0</v>
      </c>
      <c r="O220" s="1" t="s">
        <v>49</v>
      </c>
      <c r="P220" s="1">
        <v>4.06608785E8</v>
      </c>
      <c r="Q220" s="1" t="str">
        <f>"406608785"</f>
        <v>406608785</v>
      </c>
      <c r="S220" s="1" t="str">
        <f t="shared" si="51"/>
        <v/>
      </c>
      <c r="T220" s="1">
        <v>4.06608785E8</v>
      </c>
      <c r="U220" s="1" t="str">
        <f>"0406608785"</f>
        <v>0406608785</v>
      </c>
      <c r="V220" s="1" t="s">
        <v>1948</v>
      </c>
      <c r="W220" s="1" t="s">
        <v>70</v>
      </c>
      <c r="Y220" s="1" t="s">
        <v>52</v>
      </c>
      <c r="Z220" s="1" t="s">
        <v>1949</v>
      </c>
      <c r="AB220" s="1" t="s">
        <v>54</v>
      </c>
      <c r="AC220" s="1" t="s">
        <v>55</v>
      </c>
      <c r="AD220" s="1">
        <v>2.0</v>
      </c>
      <c r="AE220" s="1" t="s">
        <v>56</v>
      </c>
      <c r="AF220" s="1">
        <v>2.0</v>
      </c>
      <c r="AG220" s="1" t="s">
        <v>1942</v>
      </c>
      <c r="AH220" s="2">
        <v>43293.0</v>
      </c>
      <c r="AI220" s="1" t="s">
        <v>1024</v>
      </c>
      <c r="AJ220" s="1">
        <v>21.0</v>
      </c>
      <c r="AK220" s="1">
        <v>21.0</v>
      </c>
      <c r="AL220" s="1">
        <v>1.0</v>
      </c>
      <c r="AM220" s="1" t="s">
        <v>58</v>
      </c>
    </row>
    <row r="221" ht="15.75" customHeight="1">
      <c r="A221" s="1" t="s">
        <v>1950</v>
      </c>
      <c r="B221" s="1" t="s">
        <v>41</v>
      </c>
      <c r="C221" s="1" t="s">
        <v>1951</v>
      </c>
      <c r="D221" s="2">
        <v>43293.0</v>
      </c>
      <c r="E221" s="1" t="s">
        <v>1952</v>
      </c>
      <c r="F221" s="1" t="s">
        <v>1953</v>
      </c>
      <c r="G221" s="1" t="s">
        <v>1954</v>
      </c>
      <c r="H221" s="1" t="s">
        <v>1955</v>
      </c>
      <c r="L221" s="1" t="s">
        <v>1956</v>
      </c>
      <c r="M221" s="1" t="s">
        <v>1957</v>
      </c>
      <c r="N221" s="1">
        <v>3029.0</v>
      </c>
      <c r="O221" s="1" t="s">
        <v>49</v>
      </c>
      <c r="P221" s="1">
        <v>4.21777787E8</v>
      </c>
      <c r="Q221" s="1" t="str">
        <f>"421777787"</f>
        <v>421777787</v>
      </c>
      <c r="S221" s="1" t="str">
        <f t="shared" si="51"/>
        <v/>
      </c>
      <c r="T221" s="1">
        <v>4.01060706E8</v>
      </c>
      <c r="U221" s="1" t="str">
        <f>"0401060706"</f>
        <v>0401060706</v>
      </c>
      <c r="V221" s="1" t="s">
        <v>1958</v>
      </c>
      <c r="W221" s="1" t="s">
        <v>70</v>
      </c>
      <c r="Y221" s="1" t="s">
        <v>115</v>
      </c>
      <c r="Z221" s="1" t="s">
        <v>1959</v>
      </c>
      <c r="AB221" s="1" t="s">
        <v>54</v>
      </c>
      <c r="AC221" s="1" t="s">
        <v>55</v>
      </c>
      <c r="AD221" s="1">
        <v>2.0</v>
      </c>
      <c r="AE221" s="1" t="s">
        <v>56</v>
      </c>
      <c r="AF221" s="1">
        <v>2.0</v>
      </c>
      <c r="AG221" s="1" t="s">
        <v>1951</v>
      </c>
      <c r="AH221" s="2">
        <v>43293.0</v>
      </c>
      <c r="AI221" s="1" t="s">
        <v>1024</v>
      </c>
      <c r="AJ221" s="1">
        <v>18.0</v>
      </c>
      <c r="AK221" s="1">
        <v>20.0</v>
      </c>
      <c r="AL221" s="1">
        <v>3.0</v>
      </c>
      <c r="AM221" s="1" t="s">
        <v>58</v>
      </c>
    </row>
    <row r="222" ht="15.75" customHeight="1">
      <c r="A222" s="1" t="s">
        <v>1960</v>
      </c>
      <c r="B222" s="1" t="s">
        <v>41</v>
      </c>
      <c r="C222" s="1" t="s">
        <v>1961</v>
      </c>
      <c r="D222" s="2">
        <v>43293.0</v>
      </c>
      <c r="E222" s="1" t="s">
        <v>1962</v>
      </c>
      <c r="F222" s="1" t="s">
        <v>1963</v>
      </c>
      <c r="G222" s="1" t="s">
        <v>1964</v>
      </c>
      <c r="H222" s="1" t="s">
        <v>1965</v>
      </c>
      <c r="L222" s="1" t="s">
        <v>1966</v>
      </c>
      <c r="M222" s="1" t="s">
        <v>1436</v>
      </c>
      <c r="N222" s="1">
        <v>3088.0</v>
      </c>
      <c r="O222" s="1" t="s">
        <v>49</v>
      </c>
      <c r="P222" s="1">
        <v>4.81251535E8</v>
      </c>
      <c r="Q222" s="1" t="str">
        <f>"481251535"</f>
        <v>481251535</v>
      </c>
      <c r="S222" s="1" t="str">
        <f t="shared" si="51"/>
        <v/>
      </c>
      <c r="U222" s="1" t="str">
        <f>""</f>
        <v/>
      </c>
      <c r="V222" s="1" t="s">
        <v>1967</v>
      </c>
      <c r="W222" s="1" t="s">
        <v>51</v>
      </c>
      <c r="Y222" s="1" t="s">
        <v>115</v>
      </c>
      <c r="Z222" s="1" t="s">
        <v>1968</v>
      </c>
      <c r="AB222" s="1" t="s">
        <v>54</v>
      </c>
      <c r="AC222" s="1" t="s">
        <v>55</v>
      </c>
      <c r="AD222" s="1">
        <v>2.0</v>
      </c>
      <c r="AE222" s="1" t="s">
        <v>56</v>
      </c>
      <c r="AF222" s="1">
        <v>2.0</v>
      </c>
      <c r="AG222" s="1" t="s">
        <v>1961</v>
      </c>
      <c r="AH222" s="2">
        <v>43293.0</v>
      </c>
      <c r="AI222" s="1" t="s">
        <v>1024</v>
      </c>
      <c r="AJ222" s="1">
        <v>22.0</v>
      </c>
      <c r="AK222" s="1">
        <v>23.0</v>
      </c>
      <c r="AL222" s="1">
        <v>2.0</v>
      </c>
      <c r="AM222" s="1" t="s">
        <v>58</v>
      </c>
    </row>
    <row r="223" ht="15.75" customHeight="1">
      <c r="A223" s="1" t="s">
        <v>1969</v>
      </c>
      <c r="B223" s="1" t="s">
        <v>41</v>
      </c>
      <c r="C223" s="1" t="s">
        <v>1970</v>
      </c>
      <c r="D223" s="2">
        <v>43293.0</v>
      </c>
      <c r="E223" s="1" t="s">
        <v>1971</v>
      </c>
      <c r="F223" s="1" t="s">
        <v>1972</v>
      </c>
      <c r="G223" s="1" t="s">
        <v>1973</v>
      </c>
      <c r="H223" s="1" t="s">
        <v>1697</v>
      </c>
      <c r="L223" s="1" t="s">
        <v>1974</v>
      </c>
      <c r="M223" s="1" t="s">
        <v>156</v>
      </c>
      <c r="N223" s="1">
        <v>3101.0</v>
      </c>
      <c r="O223" s="1" t="s">
        <v>49</v>
      </c>
      <c r="P223" s="1">
        <v>4.56141514E8</v>
      </c>
      <c r="Q223" s="1" t="str">
        <f>"456141514"</f>
        <v>456141514</v>
      </c>
      <c r="S223" s="1" t="str">
        <f t="shared" si="51"/>
        <v/>
      </c>
      <c r="T223" s="1">
        <v>4.56141514E8</v>
      </c>
      <c r="U223" s="1" t="str">
        <f>"0456141514"</f>
        <v>0456141514</v>
      </c>
      <c r="V223" s="1" t="s">
        <v>1975</v>
      </c>
      <c r="W223" s="1" t="s">
        <v>51</v>
      </c>
      <c r="Y223" s="1" t="s">
        <v>52</v>
      </c>
      <c r="Z223" s="1" t="s">
        <v>1976</v>
      </c>
      <c r="AB223" s="1" t="s">
        <v>54</v>
      </c>
      <c r="AC223" s="1" t="s">
        <v>55</v>
      </c>
      <c r="AD223" s="1">
        <v>2.0</v>
      </c>
      <c r="AE223" s="1" t="s">
        <v>56</v>
      </c>
      <c r="AF223" s="1">
        <v>2.0</v>
      </c>
      <c r="AG223" s="1" t="s">
        <v>1970</v>
      </c>
      <c r="AH223" s="2">
        <v>43293.0</v>
      </c>
      <c r="AI223" s="1" t="s">
        <v>1024</v>
      </c>
      <c r="AJ223" s="1">
        <v>24.0</v>
      </c>
      <c r="AK223" s="1">
        <v>26.0</v>
      </c>
      <c r="AL223" s="1">
        <v>3.0</v>
      </c>
      <c r="AM223" s="1" t="s">
        <v>58</v>
      </c>
    </row>
    <row r="224" ht="15.75" customHeight="1">
      <c r="A224" s="1" t="s">
        <v>1977</v>
      </c>
      <c r="B224" s="1" t="s">
        <v>41</v>
      </c>
      <c r="C224" s="1" t="s">
        <v>1978</v>
      </c>
      <c r="D224" s="2">
        <v>43293.0</v>
      </c>
      <c r="E224" s="1" t="s">
        <v>1369</v>
      </c>
      <c r="F224" s="1" t="s">
        <v>1370</v>
      </c>
      <c r="G224" s="1" t="s">
        <v>1371</v>
      </c>
      <c r="H224" s="1" t="s">
        <v>1372</v>
      </c>
      <c r="L224" s="1" t="s">
        <v>1979</v>
      </c>
      <c r="M224" s="1" t="s">
        <v>1374</v>
      </c>
      <c r="N224" s="1">
        <v>3018.0</v>
      </c>
      <c r="O224" s="1" t="s">
        <v>49</v>
      </c>
      <c r="P224" s="1">
        <v>4.05300391E8</v>
      </c>
      <c r="Q224" s="1" t="str">
        <f>"0405300391"</f>
        <v>0405300391</v>
      </c>
      <c r="S224" s="1" t="str">
        <f t="shared" si="51"/>
        <v/>
      </c>
      <c r="U224" s="1" t="str">
        <f>""</f>
        <v/>
      </c>
      <c r="V224" s="1" t="s">
        <v>1375</v>
      </c>
      <c r="W224" s="1" t="s">
        <v>70</v>
      </c>
      <c r="Y224" s="1" t="s">
        <v>1376</v>
      </c>
      <c r="Z224" s="1" t="s">
        <v>1377</v>
      </c>
      <c r="AB224" s="1" t="s">
        <v>54</v>
      </c>
      <c r="AC224" s="1" t="s">
        <v>55</v>
      </c>
      <c r="AD224" s="1">
        <v>4.0</v>
      </c>
      <c r="AE224" s="1" t="s">
        <v>180</v>
      </c>
      <c r="AF224" s="1">
        <v>4.0</v>
      </c>
      <c r="AG224" s="1" t="s">
        <v>1978</v>
      </c>
      <c r="AH224" s="2">
        <v>43293.0</v>
      </c>
      <c r="AI224" s="1" t="s">
        <v>85</v>
      </c>
      <c r="AJ224" s="1">
        <v>2.0</v>
      </c>
      <c r="AK224" s="1">
        <v>3.0</v>
      </c>
      <c r="AL224" s="1">
        <v>2.0</v>
      </c>
      <c r="AM224" s="1" t="s">
        <v>58</v>
      </c>
    </row>
    <row r="225" ht="15.75" customHeight="1">
      <c r="A225" s="1" t="s">
        <v>1980</v>
      </c>
      <c r="B225" s="1" t="s">
        <v>41</v>
      </c>
      <c r="C225" s="1" t="s">
        <v>392</v>
      </c>
      <c r="D225" s="2">
        <v>43293.0</v>
      </c>
      <c r="E225" s="1" t="s">
        <v>1981</v>
      </c>
      <c r="F225" s="1" t="s">
        <v>1982</v>
      </c>
      <c r="G225" s="1" t="s">
        <v>1983</v>
      </c>
      <c r="H225" s="1" t="s">
        <v>186</v>
      </c>
      <c r="L225" s="1" t="s">
        <v>1984</v>
      </c>
      <c r="M225" s="1" t="s">
        <v>569</v>
      </c>
      <c r="N225" s="1">
        <v>3108.0</v>
      </c>
      <c r="O225" s="1" t="s">
        <v>49</v>
      </c>
      <c r="P225" s="1">
        <v>4.15665386E8</v>
      </c>
      <c r="Q225" s="1" t="str">
        <f>"415665386"</f>
        <v>415665386</v>
      </c>
      <c r="S225" s="1" t="str">
        <f t="shared" si="51"/>
        <v/>
      </c>
      <c r="T225" s="1">
        <v>4.15665386E8</v>
      </c>
      <c r="U225" s="1" t="str">
        <f>"0415665386"</f>
        <v>0415665386</v>
      </c>
      <c r="V225" s="1" t="s">
        <v>1985</v>
      </c>
      <c r="W225" s="1" t="s">
        <v>51</v>
      </c>
      <c r="Y225" s="1" t="s">
        <v>115</v>
      </c>
      <c r="Z225" s="1" t="s">
        <v>1986</v>
      </c>
      <c r="AB225" s="1" t="s">
        <v>54</v>
      </c>
      <c r="AC225" s="1" t="s">
        <v>55</v>
      </c>
      <c r="AD225" s="1">
        <v>2.0</v>
      </c>
      <c r="AE225" s="1" t="s">
        <v>56</v>
      </c>
      <c r="AF225" s="1">
        <v>2.0</v>
      </c>
      <c r="AG225" s="1" t="s">
        <v>392</v>
      </c>
      <c r="AH225" s="2">
        <v>43293.0</v>
      </c>
      <c r="AI225" s="1" t="s">
        <v>1024</v>
      </c>
      <c r="AJ225" s="1">
        <v>16.0</v>
      </c>
      <c r="AK225" s="1">
        <v>17.0</v>
      </c>
      <c r="AL225" s="1">
        <v>2.0</v>
      </c>
      <c r="AM225" s="1" t="s">
        <v>58</v>
      </c>
    </row>
    <row r="226" ht="15.75" customHeight="1">
      <c r="A226" s="1" t="s">
        <v>1987</v>
      </c>
      <c r="B226" s="1" t="s">
        <v>41</v>
      </c>
      <c r="C226" s="1" t="s">
        <v>1988</v>
      </c>
      <c r="D226" s="2">
        <v>43294.0</v>
      </c>
      <c r="E226" s="1" t="s">
        <v>1989</v>
      </c>
      <c r="F226" s="1" t="s">
        <v>1990</v>
      </c>
      <c r="G226" s="1" t="s">
        <v>1991</v>
      </c>
      <c r="H226" s="1" t="s">
        <v>1992</v>
      </c>
      <c r="L226" s="1" t="s">
        <v>1993</v>
      </c>
      <c r="M226" s="1" t="s">
        <v>1994</v>
      </c>
      <c r="N226" s="1">
        <v>3975.0</v>
      </c>
      <c r="O226" s="1" t="s">
        <v>49</v>
      </c>
      <c r="P226" s="1">
        <v>3.92847414E8</v>
      </c>
      <c r="Q226" s="1" t="str">
        <f>"392847414"</f>
        <v>392847414</v>
      </c>
      <c r="S226" s="1" t="str">
        <f t="shared" si="51"/>
        <v/>
      </c>
      <c r="T226" s="1">
        <v>4.03652248E8</v>
      </c>
      <c r="U226" s="1" t="str">
        <f>"0403652248"</f>
        <v>0403652248</v>
      </c>
      <c r="V226" s="1" t="s">
        <v>1995</v>
      </c>
      <c r="W226" s="1" t="s">
        <v>51</v>
      </c>
      <c r="Y226" s="1" t="s">
        <v>115</v>
      </c>
      <c r="Z226" s="1" t="s">
        <v>1996</v>
      </c>
      <c r="AB226" s="1" t="s">
        <v>54</v>
      </c>
      <c r="AC226" s="1" t="s">
        <v>55</v>
      </c>
      <c r="AD226" s="1">
        <v>2.0</v>
      </c>
      <c r="AE226" s="1" t="s">
        <v>56</v>
      </c>
      <c r="AF226" s="1">
        <v>2.0</v>
      </c>
      <c r="AG226" s="1" t="s">
        <v>1988</v>
      </c>
      <c r="AH226" s="2">
        <v>43294.0</v>
      </c>
      <c r="AI226" s="1" t="s">
        <v>1997</v>
      </c>
      <c r="AJ226" s="1">
        <v>34.0</v>
      </c>
      <c r="AK226" s="1">
        <v>35.0</v>
      </c>
      <c r="AL226" s="1">
        <v>2.0</v>
      </c>
      <c r="AM226" s="1" t="s">
        <v>58</v>
      </c>
    </row>
    <row r="227" ht="15.75" customHeight="1">
      <c r="A227" s="1" t="s">
        <v>1998</v>
      </c>
      <c r="B227" s="1" t="s">
        <v>41</v>
      </c>
      <c r="C227" s="1" t="s">
        <v>1999</v>
      </c>
      <c r="D227" s="2">
        <v>43294.0</v>
      </c>
      <c r="E227" s="1" t="s">
        <v>2000</v>
      </c>
      <c r="F227" s="1" t="s">
        <v>2001</v>
      </c>
      <c r="G227" s="1" t="s">
        <v>2002</v>
      </c>
      <c r="H227" s="1" t="s">
        <v>2003</v>
      </c>
      <c r="L227" s="1" t="s">
        <v>2004</v>
      </c>
      <c r="M227" s="1" t="s">
        <v>156</v>
      </c>
      <c r="N227" s="1">
        <v>3133.0</v>
      </c>
      <c r="O227" s="1" t="s">
        <v>49</v>
      </c>
      <c r="P227" s="1">
        <v>4.31460221E8</v>
      </c>
      <c r="Q227" s="1" t="str">
        <f>"431460221"</f>
        <v>431460221</v>
      </c>
      <c r="S227" s="1" t="str">
        <f t="shared" si="51"/>
        <v/>
      </c>
      <c r="T227" s="1">
        <v>4.31460221E8</v>
      </c>
      <c r="U227" s="1" t="str">
        <f>"0431460221"</f>
        <v>0431460221</v>
      </c>
      <c r="V227" s="1" t="s">
        <v>2005</v>
      </c>
      <c r="W227" s="1" t="s">
        <v>51</v>
      </c>
      <c r="Y227" s="1" t="s">
        <v>52</v>
      </c>
      <c r="Z227" s="1" t="s">
        <v>2006</v>
      </c>
      <c r="AB227" s="1" t="s">
        <v>54</v>
      </c>
      <c r="AC227" s="1" t="s">
        <v>55</v>
      </c>
      <c r="AD227" s="1">
        <v>2.0</v>
      </c>
      <c r="AE227" s="1" t="s">
        <v>56</v>
      </c>
      <c r="AF227" s="1">
        <v>2.0</v>
      </c>
      <c r="AG227" s="1" t="s">
        <v>1999</v>
      </c>
      <c r="AH227" s="2">
        <v>43294.0</v>
      </c>
      <c r="AI227" s="1" t="s">
        <v>138</v>
      </c>
      <c r="AJ227" s="1">
        <v>22.0</v>
      </c>
      <c r="AK227" s="1">
        <v>23.0</v>
      </c>
      <c r="AL227" s="1">
        <v>2.0</v>
      </c>
      <c r="AM227" s="1" t="s">
        <v>58</v>
      </c>
    </row>
    <row r="228" ht="15.75" customHeight="1">
      <c r="A228" s="1" t="s">
        <v>2007</v>
      </c>
      <c r="B228" s="1" t="s">
        <v>41</v>
      </c>
      <c r="C228" s="1" t="s">
        <v>2008</v>
      </c>
      <c r="D228" s="2">
        <v>43294.0</v>
      </c>
      <c r="E228" s="1" t="s">
        <v>2009</v>
      </c>
      <c r="F228" s="1" t="s">
        <v>2010</v>
      </c>
      <c r="G228" s="1" t="s">
        <v>778</v>
      </c>
      <c r="H228" s="1" t="s">
        <v>1164</v>
      </c>
      <c r="L228" s="1" t="s">
        <v>2011</v>
      </c>
      <c r="M228" s="1" t="s">
        <v>2012</v>
      </c>
      <c r="N228" s="1">
        <v>3046.0</v>
      </c>
      <c r="O228" s="1" t="s">
        <v>49</v>
      </c>
      <c r="P228" s="1">
        <v>4.24478618E8</v>
      </c>
      <c r="Q228" s="1" t="str">
        <f>"424478618"</f>
        <v>424478618</v>
      </c>
      <c r="S228" s="1" t="str">
        <f t="shared" si="51"/>
        <v/>
      </c>
      <c r="T228" s="1">
        <v>4.24478618E8</v>
      </c>
      <c r="U228" s="1" t="str">
        <f>"0424478618"</f>
        <v>0424478618</v>
      </c>
      <c r="V228" s="1" t="s">
        <v>2013</v>
      </c>
      <c r="W228" s="1" t="s">
        <v>51</v>
      </c>
      <c r="Y228" s="1" t="s">
        <v>115</v>
      </c>
      <c r="Z228" s="1" t="s">
        <v>2014</v>
      </c>
      <c r="AB228" s="1" t="s">
        <v>54</v>
      </c>
      <c r="AC228" s="1" t="s">
        <v>55</v>
      </c>
      <c r="AD228" s="1">
        <v>3.0</v>
      </c>
      <c r="AE228" s="1" t="s">
        <v>56</v>
      </c>
      <c r="AF228" s="1">
        <v>3.0</v>
      </c>
      <c r="AG228" s="1" t="s">
        <v>2008</v>
      </c>
      <c r="AH228" s="2">
        <v>43294.0</v>
      </c>
      <c r="AI228" s="1" t="s">
        <v>1003</v>
      </c>
      <c r="AJ228" s="1">
        <v>5.0</v>
      </c>
      <c r="AK228" s="1">
        <v>5.0</v>
      </c>
      <c r="AL228" s="1">
        <v>1.0</v>
      </c>
      <c r="AM228" s="1" t="s">
        <v>58</v>
      </c>
    </row>
    <row r="229" ht="15.75" customHeight="1">
      <c r="A229" s="1" t="s">
        <v>2015</v>
      </c>
      <c r="B229" s="1" t="s">
        <v>41</v>
      </c>
      <c r="C229" s="1" t="s">
        <v>2016</v>
      </c>
      <c r="D229" s="2">
        <v>43294.0</v>
      </c>
      <c r="E229" s="1" t="s">
        <v>2017</v>
      </c>
      <c r="F229" s="1" t="s">
        <v>2018</v>
      </c>
      <c r="G229" s="1" t="s">
        <v>2019</v>
      </c>
      <c r="H229" s="1" t="s">
        <v>537</v>
      </c>
      <c r="L229" s="1" t="s">
        <v>2020</v>
      </c>
      <c r="M229" s="1" t="s">
        <v>1250</v>
      </c>
      <c r="N229" s="1">
        <v>3008.0</v>
      </c>
      <c r="O229" s="1" t="s">
        <v>49</v>
      </c>
      <c r="P229" s="1">
        <v>4.34640261E8</v>
      </c>
      <c r="Q229" s="1" t="str">
        <f>"434640261"</f>
        <v>434640261</v>
      </c>
      <c r="S229" s="1" t="str">
        <f t="shared" si="51"/>
        <v/>
      </c>
      <c r="U229" s="1" t="str">
        <f>""</f>
        <v/>
      </c>
      <c r="V229" s="1" t="s">
        <v>2021</v>
      </c>
      <c r="W229" s="1" t="s">
        <v>70</v>
      </c>
      <c r="Y229" s="1" t="s">
        <v>52</v>
      </c>
      <c r="Z229" s="1" t="s">
        <v>2022</v>
      </c>
      <c r="AB229" s="1" t="s">
        <v>54</v>
      </c>
      <c r="AC229" s="1" t="s">
        <v>55</v>
      </c>
      <c r="AD229" s="1">
        <v>3.0</v>
      </c>
      <c r="AE229" s="1" t="s">
        <v>56</v>
      </c>
      <c r="AF229" s="1">
        <v>3.0</v>
      </c>
      <c r="AG229" s="1" t="s">
        <v>2016</v>
      </c>
      <c r="AH229" s="2">
        <v>43294.0</v>
      </c>
      <c r="AI229" s="1" t="s">
        <v>1078</v>
      </c>
      <c r="AJ229" s="1">
        <v>6.0</v>
      </c>
      <c r="AK229" s="1">
        <v>9.0</v>
      </c>
      <c r="AL229" s="1">
        <v>4.0</v>
      </c>
      <c r="AM229" s="1" t="s">
        <v>58</v>
      </c>
    </row>
    <row r="230" ht="15.75" customHeight="1">
      <c r="A230" s="1" t="s">
        <v>2023</v>
      </c>
      <c r="B230" s="1" t="s">
        <v>41</v>
      </c>
      <c r="C230" s="1" t="s">
        <v>2024</v>
      </c>
      <c r="D230" s="2">
        <v>43294.0</v>
      </c>
      <c r="E230" s="1" t="s">
        <v>2025</v>
      </c>
      <c r="F230" s="1" t="s">
        <v>2026</v>
      </c>
      <c r="G230" s="1" t="s">
        <v>2027</v>
      </c>
      <c r="H230" s="1" t="s">
        <v>2028</v>
      </c>
      <c r="L230" s="1" t="s">
        <v>2029</v>
      </c>
      <c r="M230" s="1" t="s">
        <v>378</v>
      </c>
      <c r="N230" s="1">
        <v>3101.0</v>
      </c>
      <c r="O230" s="1" t="s">
        <v>49</v>
      </c>
      <c r="P230" s="1">
        <v>3.98535595E8</v>
      </c>
      <c r="Q230" s="1" t="str">
        <f>"398535595"</f>
        <v>398535595</v>
      </c>
      <c r="S230" s="1" t="str">
        <f t="shared" si="51"/>
        <v/>
      </c>
      <c r="T230" s="1">
        <v>4.19606699E8</v>
      </c>
      <c r="U230" s="1" t="str">
        <f>"0419606699"</f>
        <v>0419606699</v>
      </c>
      <c r="V230" s="1" t="s">
        <v>772</v>
      </c>
      <c r="W230" s="1" t="s">
        <v>51</v>
      </c>
      <c r="Y230" s="1" t="s">
        <v>52</v>
      </c>
      <c r="Z230" s="1" t="s">
        <v>2030</v>
      </c>
      <c r="AB230" s="1" t="s">
        <v>54</v>
      </c>
      <c r="AC230" s="1" t="s">
        <v>55</v>
      </c>
      <c r="AD230" s="1">
        <v>2.0</v>
      </c>
      <c r="AE230" s="1" t="s">
        <v>56</v>
      </c>
      <c r="AF230" s="1">
        <v>2.0</v>
      </c>
      <c r="AG230" s="1" t="s">
        <v>2024</v>
      </c>
      <c r="AH230" s="2">
        <v>43294.0</v>
      </c>
      <c r="AI230" s="1" t="s">
        <v>1024</v>
      </c>
      <c r="AJ230" s="1">
        <v>29.0</v>
      </c>
      <c r="AK230" s="1">
        <v>29.0</v>
      </c>
      <c r="AL230" s="1">
        <v>1.0</v>
      </c>
      <c r="AM230" s="1" t="s">
        <v>58</v>
      </c>
    </row>
    <row r="231" ht="15.75" customHeight="1">
      <c r="A231" s="1" t="s">
        <v>2031</v>
      </c>
      <c r="B231" s="1" t="s">
        <v>41</v>
      </c>
      <c r="C231" s="1" t="s">
        <v>2032</v>
      </c>
      <c r="D231" s="2">
        <v>43294.0</v>
      </c>
      <c r="E231" s="1" t="s">
        <v>203</v>
      </c>
      <c r="F231" s="1" t="s">
        <v>204</v>
      </c>
      <c r="G231" s="1" t="s">
        <v>205</v>
      </c>
      <c r="H231" s="1" t="s">
        <v>206</v>
      </c>
      <c r="L231" s="1" t="s">
        <v>207</v>
      </c>
      <c r="M231" s="1" t="s">
        <v>208</v>
      </c>
      <c r="N231" s="1">
        <v>3128.0</v>
      </c>
      <c r="O231" s="1" t="s">
        <v>49</v>
      </c>
      <c r="P231" s="1">
        <v>4.2454128E8</v>
      </c>
      <c r="Q231" s="1" t="str">
        <f>"424541280"</f>
        <v>424541280</v>
      </c>
      <c r="S231" s="1" t="str">
        <f t="shared" si="51"/>
        <v/>
      </c>
      <c r="U231" s="1" t="str">
        <f t="shared" ref="U231:U232" si="56">""</f>
        <v/>
      </c>
      <c r="V231" s="1" t="s">
        <v>209</v>
      </c>
      <c r="W231" s="1" t="s">
        <v>51</v>
      </c>
      <c r="Y231" s="1" t="s">
        <v>52</v>
      </c>
      <c r="Z231" s="1" t="s">
        <v>2033</v>
      </c>
      <c r="AB231" s="1" t="s">
        <v>54</v>
      </c>
      <c r="AC231" s="1" t="s">
        <v>55</v>
      </c>
      <c r="AD231" s="1">
        <v>2.0</v>
      </c>
      <c r="AE231" s="1" t="s">
        <v>56</v>
      </c>
      <c r="AF231" s="1">
        <v>2.0</v>
      </c>
      <c r="AG231" s="1" t="s">
        <v>2032</v>
      </c>
      <c r="AH231" s="2">
        <v>43294.0</v>
      </c>
      <c r="AI231" s="1" t="s">
        <v>138</v>
      </c>
      <c r="AJ231" s="1">
        <v>20.0</v>
      </c>
      <c r="AK231" s="1">
        <v>21.0</v>
      </c>
      <c r="AL231" s="1">
        <v>2.0</v>
      </c>
      <c r="AM231" s="1" t="s">
        <v>58</v>
      </c>
    </row>
    <row r="232" ht="15.75" customHeight="1">
      <c r="A232" s="1" t="s">
        <v>2034</v>
      </c>
      <c r="B232" s="1" t="s">
        <v>41</v>
      </c>
      <c r="C232" s="1" t="s">
        <v>2035</v>
      </c>
      <c r="D232" s="2">
        <v>43294.0</v>
      </c>
      <c r="E232" s="1" t="s">
        <v>2036</v>
      </c>
      <c r="F232" s="1" t="s">
        <v>2037</v>
      </c>
      <c r="G232" s="1" t="s">
        <v>2038</v>
      </c>
      <c r="H232" s="1" t="s">
        <v>717</v>
      </c>
      <c r="L232" s="1" t="s">
        <v>2039</v>
      </c>
      <c r="M232" s="1" t="s">
        <v>680</v>
      </c>
      <c r="N232" s="1">
        <v>3032.0</v>
      </c>
      <c r="O232" s="1" t="s">
        <v>49</v>
      </c>
      <c r="P232" s="1">
        <v>4.2494749E8</v>
      </c>
      <c r="Q232" s="1" t="str">
        <f>"424947490"</f>
        <v>424947490</v>
      </c>
      <c r="S232" s="1" t="str">
        <f t="shared" si="51"/>
        <v/>
      </c>
      <c r="U232" s="1" t="str">
        <f t="shared" si="56"/>
        <v/>
      </c>
      <c r="V232" s="1" t="s">
        <v>2040</v>
      </c>
      <c r="W232" s="1" t="s">
        <v>51</v>
      </c>
      <c r="Y232" s="1" t="s">
        <v>115</v>
      </c>
      <c r="Z232" s="1" t="s">
        <v>2041</v>
      </c>
      <c r="AB232" s="1" t="s">
        <v>54</v>
      </c>
      <c r="AC232" s="1" t="s">
        <v>55</v>
      </c>
      <c r="AD232" s="1">
        <v>2.0</v>
      </c>
      <c r="AE232" s="1" t="s">
        <v>56</v>
      </c>
      <c r="AF232" s="1">
        <v>2.0</v>
      </c>
      <c r="AG232" s="1" t="s">
        <v>2035</v>
      </c>
      <c r="AH232" s="2">
        <v>43294.0</v>
      </c>
      <c r="AI232" s="1" t="s">
        <v>1024</v>
      </c>
      <c r="AJ232" s="1">
        <v>14.0</v>
      </c>
      <c r="AK232" s="1">
        <v>15.0</v>
      </c>
      <c r="AL232" s="1">
        <v>2.0</v>
      </c>
      <c r="AM232" s="1" t="s">
        <v>58</v>
      </c>
    </row>
    <row r="233" ht="15.75" customHeight="1">
      <c r="A233" s="1" t="s">
        <v>2042</v>
      </c>
      <c r="B233" s="1" t="s">
        <v>41</v>
      </c>
      <c r="C233" s="1" t="s">
        <v>2043</v>
      </c>
      <c r="D233" s="2">
        <v>43294.0</v>
      </c>
      <c r="E233" s="1" t="s">
        <v>2044</v>
      </c>
      <c r="F233" s="1" t="s">
        <v>2045</v>
      </c>
      <c r="G233" s="1" t="s">
        <v>2046</v>
      </c>
      <c r="H233" s="1" t="s">
        <v>687</v>
      </c>
      <c r="L233" s="1" t="s">
        <v>2047</v>
      </c>
      <c r="M233" s="1" t="s">
        <v>2048</v>
      </c>
      <c r="N233" s="1">
        <v>3064.0</v>
      </c>
      <c r="O233" s="1" t="s">
        <v>49</v>
      </c>
      <c r="P233" s="1">
        <v>4.03212247E8</v>
      </c>
      <c r="Q233" s="1" t="str">
        <f>"403212247"</f>
        <v>403212247</v>
      </c>
      <c r="S233" s="1" t="str">
        <f t="shared" si="51"/>
        <v/>
      </c>
      <c r="T233" s="1">
        <v>4.03212247E8</v>
      </c>
      <c r="U233" s="1" t="str">
        <f>"0403212247"</f>
        <v>0403212247</v>
      </c>
      <c r="V233" s="1" t="s">
        <v>2049</v>
      </c>
      <c r="W233" s="1" t="s">
        <v>51</v>
      </c>
      <c r="Y233" s="1" t="s">
        <v>115</v>
      </c>
      <c r="Z233" s="1" t="s">
        <v>2050</v>
      </c>
      <c r="AB233" s="1" t="s">
        <v>54</v>
      </c>
      <c r="AC233" s="1" t="s">
        <v>55</v>
      </c>
      <c r="AD233" s="1">
        <v>2.0</v>
      </c>
      <c r="AE233" s="1" t="s">
        <v>56</v>
      </c>
      <c r="AF233" s="1">
        <v>2.0</v>
      </c>
      <c r="AG233" s="1" t="s">
        <v>2043</v>
      </c>
      <c r="AH233" s="2">
        <v>43294.0</v>
      </c>
      <c r="AI233" s="1" t="s">
        <v>1024</v>
      </c>
      <c r="AJ233" s="1">
        <v>27.0</v>
      </c>
      <c r="AK233" s="1">
        <v>28.0</v>
      </c>
      <c r="AL233" s="1">
        <v>2.0</v>
      </c>
      <c r="AM233" s="1" t="s">
        <v>58</v>
      </c>
    </row>
    <row r="234" ht="15.75" customHeight="1">
      <c r="A234" s="1" t="s">
        <v>2051</v>
      </c>
      <c r="B234" s="1" t="s">
        <v>41</v>
      </c>
      <c r="C234" s="1" t="s">
        <v>2052</v>
      </c>
      <c r="D234" s="2">
        <v>43294.0</v>
      </c>
      <c r="E234" s="1" t="s">
        <v>2053</v>
      </c>
      <c r="F234" s="1" t="s">
        <v>2054</v>
      </c>
      <c r="G234" s="1" t="s">
        <v>2055</v>
      </c>
      <c r="H234" s="1" t="s">
        <v>2056</v>
      </c>
      <c r="L234" s="1" t="s">
        <v>2057</v>
      </c>
      <c r="M234" s="1" t="s">
        <v>1011</v>
      </c>
      <c r="N234" s="1">
        <v>3134.0</v>
      </c>
      <c r="O234" s="1" t="s">
        <v>49</v>
      </c>
      <c r="P234" s="1">
        <v>4.23451243E8</v>
      </c>
      <c r="Q234" s="1" t="str">
        <f>"423451243"</f>
        <v>423451243</v>
      </c>
      <c r="S234" s="1" t="str">
        <f t="shared" si="51"/>
        <v/>
      </c>
      <c r="T234" s="1">
        <v>4.23451243E8</v>
      </c>
      <c r="U234" s="1" t="str">
        <f>"0423451243"</f>
        <v>0423451243</v>
      </c>
      <c r="V234" s="1" t="s">
        <v>2058</v>
      </c>
      <c r="W234" s="1" t="s">
        <v>70</v>
      </c>
      <c r="X234" s="1" t="s">
        <v>2059</v>
      </c>
      <c r="Y234" s="1" t="s">
        <v>52</v>
      </c>
      <c r="Z234" s="1" t="s">
        <v>2060</v>
      </c>
      <c r="AB234" s="1" t="s">
        <v>54</v>
      </c>
      <c r="AC234" s="1" t="s">
        <v>55</v>
      </c>
      <c r="AD234" s="1">
        <v>2.0</v>
      </c>
      <c r="AE234" s="1" t="s">
        <v>56</v>
      </c>
      <c r="AF234" s="1">
        <v>2.0</v>
      </c>
      <c r="AG234" s="1" t="s">
        <v>2052</v>
      </c>
      <c r="AH234" s="2">
        <v>43294.0</v>
      </c>
      <c r="AI234" s="1" t="s">
        <v>138</v>
      </c>
      <c r="AJ234" s="1">
        <v>33.0</v>
      </c>
      <c r="AK234" s="1">
        <v>34.0</v>
      </c>
      <c r="AL234" s="1">
        <v>2.0</v>
      </c>
      <c r="AM234" s="1" t="s">
        <v>58</v>
      </c>
    </row>
    <row r="235" ht="15.75" customHeight="1">
      <c r="A235" s="1" t="s">
        <v>2061</v>
      </c>
      <c r="B235" s="1" t="s">
        <v>41</v>
      </c>
      <c r="C235" s="1" t="s">
        <v>2062</v>
      </c>
      <c r="D235" s="2">
        <v>43294.0</v>
      </c>
      <c r="E235" s="1" t="s">
        <v>2063</v>
      </c>
      <c r="F235" s="1" t="s">
        <v>2064</v>
      </c>
      <c r="G235" s="1" t="s">
        <v>2065</v>
      </c>
      <c r="H235" s="1" t="s">
        <v>2066</v>
      </c>
      <c r="L235" s="1" t="s">
        <v>2067</v>
      </c>
      <c r="M235" s="1" t="s">
        <v>1587</v>
      </c>
      <c r="N235" s="1">
        <v>3016.0</v>
      </c>
      <c r="O235" s="1" t="s">
        <v>49</v>
      </c>
      <c r="P235" s="1">
        <v>4.51772431E8</v>
      </c>
      <c r="Q235" s="1" t="str">
        <f>"0451772431"</f>
        <v>0451772431</v>
      </c>
      <c r="S235" s="1" t="str">
        <f t="shared" si="51"/>
        <v/>
      </c>
      <c r="U235" s="1" t="str">
        <f t="shared" ref="U235:U237" si="57">""</f>
        <v/>
      </c>
      <c r="V235" s="1" t="s">
        <v>2068</v>
      </c>
      <c r="W235" s="1" t="s">
        <v>70</v>
      </c>
      <c r="Y235" s="1" t="s">
        <v>1168</v>
      </c>
      <c r="Z235" s="1" t="s">
        <v>1589</v>
      </c>
      <c r="AB235" s="1" t="s">
        <v>54</v>
      </c>
      <c r="AC235" s="1" t="s">
        <v>55</v>
      </c>
      <c r="AD235" s="1">
        <v>2.0</v>
      </c>
      <c r="AE235" s="1" t="s">
        <v>56</v>
      </c>
      <c r="AF235" s="1">
        <v>2.0</v>
      </c>
      <c r="AG235" s="1" t="s">
        <v>2062</v>
      </c>
      <c r="AH235" s="2">
        <v>43294.0</v>
      </c>
      <c r="AI235" s="1" t="s">
        <v>138</v>
      </c>
      <c r="AJ235" s="1">
        <v>32.0</v>
      </c>
      <c r="AK235" s="1">
        <v>32.0</v>
      </c>
      <c r="AL235" s="1">
        <v>1.0</v>
      </c>
      <c r="AM235" s="1" t="s">
        <v>58</v>
      </c>
    </row>
    <row r="236" ht="15.75" customHeight="1">
      <c r="A236" s="1" t="s">
        <v>2069</v>
      </c>
      <c r="B236" s="1" t="s">
        <v>41</v>
      </c>
      <c r="C236" s="1" t="s">
        <v>392</v>
      </c>
      <c r="D236" s="2">
        <v>43294.0</v>
      </c>
      <c r="E236" s="1" t="s">
        <v>2070</v>
      </c>
      <c r="F236" s="1" t="s">
        <v>2071</v>
      </c>
      <c r="G236" s="1" t="s">
        <v>2072</v>
      </c>
      <c r="H236" s="1" t="s">
        <v>1304</v>
      </c>
      <c r="L236" s="1" t="s">
        <v>2073</v>
      </c>
      <c r="M236" s="1" t="s">
        <v>2074</v>
      </c>
      <c r="N236" s="1">
        <v>3079.0</v>
      </c>
      <c r="O236" s="1" t="s">
        <v>49</v>
      </c>
      <c r="P236" s="1">
        <v>4.12761056E8</v>
      </c>
      <c r="Q236" s="1" t="str">
        <f>"412761056"</f>
        <v>412761056</v>
      </c>
      <c r="S236" s="1" t="str">
        <f t="shared" si="51"/>
        <v/>
      </c>
      <c r="U236" s="1" t="str">
        <f t="shared" si="57"/>
        <v/>
      </c>
      <c r="V236" s="1" t="s">
        <v>2075</v>
      </c>
      <c r="W236" s="1" t="s">
        <v>70</v>
      </c>
      <c r="Y236" s="1" t="s">
        <v>115</v>
      </c>
      <c r="Z236" s="1" t="s">
        <v>2076</v>
      </c>
      <c r="AB236" s="1" t="s">
        <v>54</v>
      </c>
      <c r="AC236" s="1" t="s">
        <v>55</v>
      </c>
      <c r="AD236" s="1">
        <v>3.0</v>
      </c>
      <c r="AE236" s="1" t="s">
        <v>56</v>
      </c>
      <c r="AF236" s="1">
        <v>3.0</v>
      </c>
      <c r="AG236" s="1" t="s">
        <v>392</v>
      </c>
      <c r="AH236" s="2">
        <v>43294.0</v>
      </c>
      <c r="AI236" s="1" t="s">
        <v>1003</v>
      </c>
      <c r="AJ236" s="1">
        <v>12.0</v>
      </c>
      <c r="AK236" s="1">
        <v>13.0</v>
      </c>
      <c r="AL236" s="1">
        <v>2.0</v>
      </c>
      <c r="AM236" s="1" t="s">
        <v>58</v>
      </c>
    </row>
    <row r="237" ht="15.75" customHeight="1">
      <c r="A237" s="1" t="s">
        <v>2077</v>
      </c>
      <c r="B237" s="1" t="s">
        <v>41</v>
      </c>
      <c r="C237" s="1" t="s">
        <v>2078</v>
      </c>
      <c r="D237" s="2">
        <v>43294.0</v>
      </c>
      <c r="E237" s="1" t="s">
        <v>2079</v>
      </c>
      <c r="F237" s="1" t="s">
        <v>2080</v>
      </c>
      <c r="G237" s="1" t="s">
        <v>2081</v>
      </c>
      <c r="H237" s="1" t="s">
        <v>2082</v>
      </c>
      <c r="L237" s="1" t="s">
        <v>2083</v>
      </c>
      <c r="M237" s="1" t="s">
        <v>2084</v>
      </c>
      <c r="N237" s="1">
        <v>3182.0</v>
      </c>
      <c r="O237" s="1" t="s">
        <v>49</v>
      </c>
      <c r="P237" s="1">
        <v>4.26004917E8</v>
      </c>
      <c r="Q237" s="1" t="str">
        <f>"0426004917"</f>
        <v>0426004917</v>
      </c>
      <c r="S237" s="1" t="str">
        <f t="shared" si="51"/>
        <v/>
      </c>
      <c r="U237" s="1" t="str">
        <f t="shared" si="57"/>
        <v/>
      </c>
      <c r="V237" s="1" t="s">
        <v>2085</v>
      </c>
      <c r="W237" s="1" t="s">
        <v>70</v>
      </c>
      <c r="Y237" s="1" t="s">
        <v>1168</v>
      </c>
      <c r="Z237" s="1" t="s">
        <v>1589</v>
      </c>
      <c r="AB237" s="1" t="s">
        <v>54</v>
      </c>
      <c r="AC237" s="1" t="s">
        <v>55</v>
      </c>
      <c r="AD237" s="1">
        <v>2.0</v>
      </c>
      <c r="AE237" s="1" t="s">
        <v>56</v>
      </c>
      <c r="AF237" s="1">
        <v>2.0</v>
      </c>
      <c r="AG237" s="1" t="s">
        <v>2078</v>
      </c>
      <c r="AH237" s="2">
        <v>43294.0</v>
      </c>
      <c r="AI237" s="1" t="s">
        <v>1997</v>
      </c>
      <c r="AJ237" s="1">
        <v>32.0</v>
      </c>
      <c r="AK237" s="1">
        <v>33.0</v>
      </c>
      <c r="AL237" s="1">
        <v>2.0</v>
      </c>
      <c r="AM237" s="1" t="s">
        <v>58</v>
      </c>
    </row>
    <row r="238" ht="15.75" customHeight="1">
      <c r="A238" s="1" t="s">
        <v>2086</v>
      </c>
      <c r="B238" s="1" t="s">
        <v>41</v>
      </c>
      <c r="C238" s="1" t="s">
        <v>2087</v>
      </c>
      <c r="D238" s="2">
        <v>43294.0</v>
      </c>
      <c r="E238" s="1" t="s">
        <v>2088</v>
      </c>
      <c r="F238" s="1" t="s">
        <v>2089</v>
      </c>
      <c r="G238" s="1" t="s">
        <v>2090</v>
      </c>
      <c r="H238" s="1" t="s">
        <v>186</v>
      </c>
      <c r="L238" s="1" t="s">
        <v>2091</v>
      </c>
      <c r="M238" s="1" t="s">
        <v>781</v>
      </c>
      <c r="N238" s="1">
        <v>3104.0</v>
      </c>
      <c r="O238" s="1" t="s">
        <v>49</v>
      </c>
      <c r="P238" s="1">
        <v>4.15912138E8</v>
      </c>
      <c r="Q238" s="1" t="str">
        <f>"415912138"</f>
        <v>415912138</v>
      </c>
      <c r="S238" s="1" t="str">
        <f t="shared" si="51"/>
        <v/>
      </c>
      <c r="T238" s="1">
        <v>4.15912138E8</v>
      </c>
      <c r="U238" s="1" t="str">
        <f>"0415912138"</f>
        <v>0415912138</v>
      </c>
      <c r="V238" s="1" t="s">
        <v>2092</v>
      </c>
      <c r="W238" s="1" t="s">
        <v>51</v>
      </c>
      <c r="Y238" s="1" t="s">
        <v>115</v>
      </c>
      <c r="Z238" s="1" t="s">
        <v>2093</v>
      </c>
      <c r="AB238" s="1" t="s">
        <v>54</v>
      </c>
      <c r="AC238" s="1" t="s">
        <v>55</v>
      </c>
      <c r="AD238" s="1">
        <v>2.0</v>
      </c>
      <c r="AE238" s="1" t="s">
        <v>56</v>
      </c>
      <c r="AF238" s="1">
        <v>2.0</v>
      </c>
      <c r="AG238" s="1" t="s">
        <v>2087</v>
      </c>
      <c r="AH238" s="2">
        <v>43294.0</v>
      </c>
      <c r="AI238" s="1" t="s">
        <v>1997</v>
      </c>
      <c r="AJ238" s="1">
        <v>10.0</v>
      </c>
      <c r="AK238" s="1">
        <v>11.0</v>
      </c>
      <c r="AL238" s="1">
        <v>2.0</v>
      </c>
      <c r="AM238" s="1" t="s">
        <v>58</v>
      </c>
    </row>
    <row r="239" ht="15.75" customHeight="1">
      <c r="A239" s="1" t="s">
        <v>2094</v>
      </c>
      <c r="B239" s="1" t="s">
        <v>41</v>
      </c>
      <c r="C239" s="1" t="s">
        <v>2095</v>
      </c>
      <c r="D239" s="2">
        <v>43294.0</v>
      </c>
      <c r="E239" s="1" t="s">
        <v>2096</v>
      </c>
      <c r="F239" s="1" t="s">
        <v>2097</v>
      </c>
      <c r="G239" s="1" t="s">
        <v>2098</v>
      </c>
      <c r="H239" s="1" t="s">
        <v>2099</v>
      </c>
      <c r="L239" s="1" t="s">
        <v>2100</v>
      </c>
      <c r="M239" s="1" t="s">
        <v>156</v>
      </c>
      <c r="N239" s="1">
        <v>3122.0</v>
      </c>
      <c r="O239" s="1" t="s">
        <v>49</v>
      </c>
      <c r="P239" s="1">
        <v>4.68397736E8</v>
      </c>
      <c r="Q239" s="1" t="str">
        <f>"468397736"</f>
        <v>468397736</v>
      </c>
      <c r="S239" s="1" t="str">
        <f t="shared" si="51"/>
        <v/>
      </c>
      <c r="T239" s="1">
        <v>4.68397736E8</v>
      </c>
      <c r="U239" s="1" t="str">
        <f>"0468397736"</f>
        <v>0468397736</v>
      </c>
      <c r="V239" s="1" t="s">
        <v>2101</v>
      </c>
      <c r="W239" s="1" t="s">
        <v>51</v>
      </c>
      <c r="Y239" s="1" t="s">
        <v>52</v>
      </c>
      <c r="Z239" s="1" t="s">
        <v>2102</v>
      </c>
      <c r="AB239" s="1" t="s">
        <v>54</v>
      </c>
      <c r="AC239" s="1" t="s">
        <v>55</v>
      </c>
      <c r="AD239" s="1">
        <v>4.0</v>
      </c>
      <c r="AE239" s="1" t="s">
        <v>180</v>
      </c>
      <c r="AF239" s="1">
        <v>4.0</v>
      </c>
      <c r="AG239" s="1" t="s">
        <v>2095</v>
      </c>
      <c r="AH239" s="2">
        <v>43294.0</v>
      </c>
      <c r="AI239" s="1" t="s">
        <v>1024</v>
      </c>
      <c r="AJ239" s="1">
        <v>37.0</v>
      </c>
      <c r="AK239" s="1">
        <v>37.0</v>
      </c>
      <c r="AL239" s="1">
        <v>1.0</v>
      </c>
      <c r="AM239" s="1" t="s">
        <v>58</v>
      </c>
      <c r="AN239" s="1" t="s">
        <v>1667</v>
      </c>
    </row>
    <row r="240" ht="15.75" customHeight="1">
      <c r="A240" s="1" t="s">
        <v>2103</v>
      </c>
      <c r="B240" s="1" t="s">
        <v>41</v>
      </c>
      <c r="C240" s="1" t="s">
        <v>2104</v>
      </c>
      <c r="D240" s="2">
        <v>43294.0</v>
      </c>
      <c r="E240" s="1" t="s">
        <v>2105</v>
      </c>
      <c r="F240" s="1" t="s">
        <v>2106</v>
      </c>
      <c r="G240" s="1" t="s">
        <v>2107</v>
      </c>
      <c r="H240" s="1" t="s">
        <v>1946</v>
      </c>
      <c r="L240" s="1" t="s">
        <v>2108</v>
      </c>
      <c r="M240" s="1" t="s">
        <v>2109</v>
      </c>
      <c r="N240" s="1">
        <v>3218.0</v>
      </c>
      <c r="O240" s="1" t="s">
        <v>49</v>
      </c>
      <c r="P240" s="1">
        <v>4.06222372E8</v>
      </c>
      <c r="Q240" s="1" t="str">
        <f>"406222372"</f>
        <v>406222372</v>
      </c>
      <c r="S240" s="1" t="str">
        <f t="shared" si="51"/>
        <v/>
      </c>
      <c r="T240" s="1">
        <v>4.06222372E8</v>
      </c>
      <c r="U240" s="1" t="str">
        <f>"0406222372"</f>
        <v>0406222372</v>
      </c>
      <c r="V240" s="1" t="s">
        <v>2110</v>
      </c>
      <c r="W240" s="1" t="s">
        <v>70</v>
      </c>
      <c r="Y240" s="1" t="s">
        <v>52</v>
      </c>
      <c r="Z240" s="1" t="s">
        <v>2111</v>
      </c>
      <c r="AB240" s="1" t="s">
        <v>54</v>
      </c>
      <c r="AC240" s="1" t="s">
        <v>55</v>
      </c>
      <c r="AD240" s="1">
        <v>4.0</v>
      </c>
      <c r="AE240" s="1" t="s">
        <v>180</v>
      </c>
      <c r="AF240" s="1">
        <v>4.0</v>
      </c>
      <c r="AG240" s="1" t="s">
        <v>2104</v>
      </c>
      <c r="AH240" s="2">
        <v>43294.0</v>
      </c>
      <c r="AI240" s="1" t="s">
        <v>138</v>
      </c>
      <c r="AJ240" s="1">
        <v>13.0</v>
      </c>
      <c r="AK240" s="1">
        <v>13.0</v>
      </c>
      <c r="AL240" s="1">
        <v>1.0</v>
      </c>
      <c r="AM240" s="1" t="s">
        <v>58</v>
      </c>
    </row>
    <row r="241" ht="15.75" customHeight="1">
      <c r="A241" s="1" t="s">
        <v>2112</v>
      </c>
      <c r="B241" s="1" t="s">
        <v>41</v>
      </c>
      <c r="C241" s="1" t="s">
        <v>2113</v>
      </c>
      <c r="D241" s="2">
        <v>43295.0</v>
      </c>
      <c r="E241" s="1" t="s">
        <v>2114</v>
      </c>
      <c r="F241" s="1" t="s">
        <v>2115</v>
      </c>
      <c r="G241" s="1" t="s">
        <v>2116</v>
      </c>
      <c r="H241" s="1" t="s">
        <v>2117</v>
      </c>
      <c r="L241" s="1" t="s">
        <v>2118</v>
      </c>
      <c r="M241" s="1" t="s">
        <v>156</v>
      </c>
      <c r="N241" s="1">
        <v>3000.0</v>
      </c>
      <c r="O241" s="1" t="s">
        <v>49</v>
      </c>
      <c r="P241" s="1">
        <v>4.35188689E8</v>
      </c>
      <c r="Q241" s="1" t="str">
        <f>"435188689"</f>
        <v>435188689</v>
      </c>
      <c r="S241" s="1" t="str">
        <f t="shared" si="51"/>
        <v/>
      </c>
      <c r="T241" s="1">
        <v>4.35188689E8</v>
      </c>
      <c r="U241" s="1" t="str">
        <f>"0435188689"</f>
        <v>0435188689</v>
      </c>
      <c r="V241" s="1" t="s">
        <v>2119</v>
      </c>
      <c r="W241" s="1" t="s">
        <v>51</v>
      </c>
      <c r="X241" s="1" t="s">
        <v>230</v>
      </c>
      <c r="Y241" s="1" t="s">
        <v>52</v>
      </c>
      <c r="Z241" s="1" t="s">
        <v>2120</v>
      </c>
      <c r="AB241" s="1" t="s">
        <v>54</v>
      </c>
      <c r="AC241" s="1" t="s">
        <v>1071</v>
      </c>
      <c r="AD241" s="1">
        <v>4.0</v>
      </c>
      <c r="AE241" s="1" t="s">
        <v>180</v>
      </c>
      <c r="AF241" s="1">
        <v>4.0</v>
      </c>
      <c r="AG241" s="1" t="s">
        <v>2113</v>
      </c>
      <c r="AH241" s="2">
        <v>43295.0</v>
      </c>
      <c r="AI241" s="1" t="s">
        <v>138</v>
      </c>
      <c r="AJ241" s="1">
        <v>14.0</v>
      </c>
      <c r="AK241" s="1">
        <v>15.0</v>
      </c>
      <c r="AL241" s="1">
        <v>2.0</v>
      </c>
      <c r="AM241" s="1" t="s">
        <v>58</v>
      </c>
    </row>
    <row r="242" ht="15.75" customHeight="1">
      <c r="A242" s="1" t="s">
        <v>2121</v>
      </c>
      <c r="B242" s="1" t="s">
        <v>41</v>
      </c>
      <c r="C242" s="1" t="s">
        <v>2122</v>
      </c>
      <c r="D242" s="2">
        <v>43295.0</v>
      </c>
      <c r="E242" s="1" t="s">
        <v>2123</v>
      </c>
      <c r="F242" s="1" t="s">
        <v>2124</v>
      </c>
      <c r="G242" s="1" t="s">
        <v>2125</v>
      </c>
      <c r="H242" s="1" t="s">
        <v>154</v>
      </c>
      <c r="L242" s="1" t="s">
        <v>2126</v>
      </c>
      <c r="M242" s="1" t="s">
        <v>2127</v>
      </c>
      <c r="N242" s="1">
        <v>3008.0</v>
      </c>
      <c r="O242" s="1" t="s">
        <v>49</v>
      </c>
      <c r="P242" s="1">
        <v>4.23083933E8</v>
      </c>
      <c r="Q242" s="1" t="str">
        <f>"423083933"</f>
        <v>423083933</v>
      </c>
      <c r="S242" s="1" t="str">
        <f t="shared" si="51"/>
        <v/>
      </c>
      <c r="U242" s="1" t="str">
        <f t="shared" ref="U242:U245" si="58">""</f>
        <v/>
      </c>
      <c r="V242" s="1" t="s">
        <v>2128</v>
      </c>
      <c r="W242" s="1" t="s">
        <v>51</v>
      </c>
      <c r="Y242" s="1" t="s">
        <v>52</v>
      </c>
      <c r="Z242" s="1" t="s">
        <v>2129</v>
      </c>
      <c r="AB242" s="1" t="s">
        <v>54</v>
      </c>
      <c r="AC242" s="1" t="s">
        <v>55</v>
      </c>
      <c r="AD242" s="1">
        <v>2.0</v>
      </c>
      <c r="AE242" s="1" t="s">
        <v>56</v>
      </c>
      <c r="AF242" s="1">
        <v>2.0</v>
      </c>
      <c r="AG242" s="1" t="s">
        <v>2122</v>
      </c>
      <c r="AH242" s="2">
        <v>43295.0</v>
      </c>
      <c r="AI242" s="1" t="s">
        <v>631</v>
      </c>
      <c r="AJ242" s="1">
        <v>24.0</v>
      </c>
      <c r="AK242" s="1">
        <v>24.0</v>
      </c>
      <c r="AL242" s="1">
        <v>1.0</v>
      </c>
      <c r="AM242" s="1" t="s">
        <v>58</v>
      </c>
    </row>
    <row r="243" ht="15.75" customHeight="1">
      <c r="A243" s="1" t="s">
        <v>2130</v>
      </c>
      <c r="B243" s="1" t="s">
        <v>41</v>
      </c>
      <c r="C243" s="1" t="s">
        <v>2131</v>
      </c>
      <c r="D243" s="2">
        <v>43295.0</v>
      </c>
      <c r="E243" s="1" t="s">
        <v>291</v>
      </c>
      <c r="F243" s="1" t="s">
        <v>292</v>
      </c>
      <c r="G243" s="1" t="s">
        <v>293</v>
      </c>
      <c r="H243" s="1" t="s">
        <v>294</v>
      </c>
      <c r="L243" s="1" t="s">
        <v>295</v>
      </c>
      <c r="M243" s="1" t="s">
        <v>2132</v>
      </c>
      <c r="N243" s="1">
        <v>3053.0</v>
      </c>
      <c r="O243" s="1" t="s">
        <v>49</v>
      </c>
      <c r="P243" s="1">
        <v>1.410246047E9</v>
      </c>
      <c r="Q243" s="1" t="str">
        <f>"1410246047"</f>
        <v>1410246047</v>
      </c>
      <c r="S243" s="1" t="str">
        <f t="shared" si="51"/>
        <v/>
      </c>
      <c r="U243" s="1" t="str">
        <f t="shared" si="58"/>
        <v/>
      </c>
      <c r="V243" s="1" t="s">
        <v>297</v>
      </c>
      <c r="W243" s="1" t="s">
        <v>70</v>
      </c>
      <c r="Y243" s="1" t="s">
        <v>2133</v>
      </c>
      <c r="Z243" s="1" t="s">
        <v>2134</v>
      </c>
      <c r="AB243" s="1" t="s">
        <v>54</v>
      </c>
      <c r="AC243" s="1" t="s">
        <v>55</v>
      </c>
      <c r="AD243" s="1">
        <v>4.0</v>
      </c>
      <c r="AE243" s="1" t="s">
        <v>180</v>
      </c>
      <c r="AF243" s="1">
        <v>4.0</v>
      </c>
      <c r="AG243" s="1" t="s">
        <v>2131</v>
      </c>
      <c r="AH243" s="2">
        <v>43295.0</v>
      </c>
      <c r="AI243" s="1" t="s">
        <v>1298</v>
      </c>
      <c r="AJ243" s="1">
        <v>11.0</v>
      </c>
      <c r="AK243" s="1">
        <v>11.0</v>
      </c>
      <c r="AL243" s="1">
        <v>1.0</v>
      </c>
      <c r="AM243" s="1" t="s">
        <v>58</v>
      </c>
    </row>
    <row r="244" ht="15.75" customHeight="1">
      <c r="A244" s="1" t="s">
        <v>2135</v>
      </c>
      <c r="B244" s="1" t="s">
        <v>41</v>
      </c>
      <c r="C244" s="1" t="s">
        <v>2136</v>
      </c>
      <c r="D244" s="2">
        <v>43295.0</v>
      </c>
      <c r="E244" s="1" t="s">
        <v>2137</v>
      </c>
      <c r="F244" s="1" t="s">
        <v>2138</v>
      </c>
      <c r="G244" s="1" t="s">
        <v>1662</v>
      </c>
      <c r="H244" s="1" t="s">
        <v>2139</v>
      </c>
      <c r="L244" s="1" t="s">
        <v>2140</v>
      </c>
      <c r="M244" s="1" t="s">
        <v>1752</v>
      </c>
      <c r="N244" s="1">
        <v>3146.0</v>
      </c>
      <c r="O244" s="1" t="s">
        <v>49</v>
      </c>
      <c r="P244" s="1">
        <v>6.142100187E9</v>
      </c>
      <c r="Q244" s="1" t="str">
        <f>"6142100187"</f>
        <v>6142100187</v>
      </c>
      <c r="R244" s="1">
        <v>8.0</v>
      </c>
      <c r="S244" s="1" t="str">
        <f>"8"</f>
        <v>8</v>
      </c>
      <c r="U244" s="1" t="str">
        <f t="shared" si="58"/>
        <v/>
      </c>
      <c r="V244" s="1" t="s">
        <v>2141</v>
      </c>
      <c r="W244" s="1" t="s">
        <v>51</v>
      </c>
      <c r="Y244" s="1" t="s">
        <v>52</v>
      </c>
      <c r="Z244" s="1" t="s">
        <v>2142</v>
      </c>
      <c r="AB244" s="1" t="s">
        <v>54</v>
      </c>
      <c r="AC244" s="1" t="s">
        <v>55</v>
      </c>
      <c r="AD244" s="1">
        <v>2.0</v>
      </c>
      <c r="AE244" s="1" t="s">
        <v>56</v>
      </c>
      <c r="AF244" s="1">
        <v>2.0</v>
      </c>
      <c r="AG244" s="1" t="s">
        <v>2136</v>
      </c>
      <c r="AH244" s="2">
        <v>43295.0</v>
      </c>
      <c r="AI244" s="1" t="s">
        <v>1997</v>
      </c>
      <c r="AJ244" s="1">
        <v>7.0</v>
      </c>
      <c r="AK244" s="1">
        <v>9.0</v>
      </c>
      <c r="AL244" s="1">
        <v>3.0</v>
      </c>
      <c r="AM244" s="1" t="s">
        <v>58</v>
      </c>
    </row>
    <row r="245" ht="15.75" customHeight="1">
      <c r="A245" s="1" t="s">
        <v>2143</v>
      </c>
      <c r="B245" s="1" t="s">
        <v>41</v>
      </c>
      <c r="C245" s="1" t="s">
        <v>2144</v>
      </c>
      <c r="D245" s="2">
        <v>43295.0</v>
      </c>
      <c r="E245" s="1" t="s">
        <v>2145</v>
      </c>
      <c r="F245" s="1" t="s">
        <v>2146</v>
      </c>
      <c r="G245" s="1" t="s">
        <v>2147</v>
      </c>
      <c r="H245" s="1" t="s">
        <v>2148</v>
      </c>
      <c r="L245" s="1" t="s">
        <v>2149</v>
      </c>
      <c r="M245" s="1" t="s">
        <v>569</v>
      </c>
      <c r="N245" s="1">
        <v>3108.0</v>
      </c>
      <c r="O245" s="1" t="s">
        <v>49</v>
      </c>
      <c r="P245" s="1">
        <v>4.34115722E8</v>
      </c>
      <c r="Q245" s="1" t="str">
        <f>"434115722"</f>
        <v>434115722</v>
      </c>
      <c r="S245" s="1" t="str">
        <f t="shared" ref="S245:S252" si="59">""</f>
        <v/>
      </c>
      <c r="U245" s="1" t="str">
        <f t="shared" si="58"/>
        <v/>
      </c>
      <c r="V245" s="1" t="s">
        <v>2150</v>
      </c>
      <c r="W245" s="1" t="s">
        <v>51</v>
      </c>
      <c r="Y245" s="1" t="s">
        <v>52</v>
      </c>
      <c r="Z245" s="1" t="s">
        <v>2151</v>
      </c>
      <c r="AB245" s="1" t="s">
        <v>54</v>
      </c>
      <c r="AC245" s="1" t="s">
        <v>55</v>
      </c>
      <c r="AD245" s="1">
        <v>5.0</v>
      </c>
      <c r="AE245" s="1" t="s">
        <v>180</v>
      </c>
      <c r="AF245" s="1">
        <v>4.0</v>
      </c>
      <c r="AG245" s="1" t="s">
        <v>2144</v>
      </c>
      <c r="AH245" s="2">
        <v>43295.0</v>
      </c>
      <c r="AI245" s="1" t="s">
        <v>631</v>
      </c>
      <c r="AJ245" s="1">
        <v>12.0</v>
      </c>
      <c r="AK245" s="1">
        <v>12.0</v>
      </c>
      <c r="AL245" s="1">
        <v>1.0</v>
      </c>
      <c r="AM245" s="1" t="s">
        <v>58</v>
      </c>
    </row>
    <row r="246" ht="15.75" customHeight="1">
      <c r="A246" s="1" t="s">
        <v>2152</v>
      </c>
      <c r="B246" s="1" t="s">
        <v>41</v>
      </c>
      <c r="C246" s="1" t="s">
        <v>2153</v>
      </c>
      <c r="D246" s="2">
        <v>43295.0</v>
      </c>
      <c r="E246" s="1" t="s">
        <v>2154</v>
      </c>
      <c r="F246" s="1" t="s">
        <v>2155</v>
      </c>
      <c r="G246" s="1" t="s">
        <v>2156</v>
      </c>
      <c r="H246" s="1" t="s">
        <v>2157</v>
      </c>
      <c r="L246" s="1" t="s">
        <v>2158</v>
      </c>
      <c r="M246" s="1" t="s">
        <v>2159</v>
      </c>
      <c r="N246" s="1">
        <v>3930.0</v>
      </c>
      <c r="O246" s="1" t="s">
        <v>49</v>
      </c>
      <c r="P246" s="1">
        <v>4.07054111E8</v>
      </c>
      <c r="Q246" s="1" t="str">
        <f>"407054111"</f>
        <v>407054111</v>
      </c>
      <c r="S246" s="1" t="str">
        <f t="shared" si="59"/>
        <v/>
      </c>
      <c r="T246" s="1">
        <v>4.07054111E8</v>
      </c>
      <c r="U246" s="1" t="str">
        <f>"0407054111"</f>
        <v>0407054111</v>
      </c>
      <c r="V246" s="1" t="s">
        <v>2160</v>
      </c>
      <c r="W246" s="1" t="s">
        <v>51</v>
      </c>
      <c r="X246" s="1" t="s">
        <v>230</v>
      </c>
      <c r="Y246" s="1" t="s">
        <v>52</v>
      </c>
      <c r="Z246" s="1" t="s">
        <v>2161</v>
      </c>
      <c r="AB246" s="1" t="s">
        <v>54</v>
      </c>
      <c r="AC246" s="1" t="s">
        <v>55</v>
      </c>
      <c r="AD246" s="1">
        <v>2.0</v>
      </c>
      <c r="AE246" s="1" t="s">
        <v>56</v>
      </c>
      <c r="AF246" s="1">
        <v>2.0</v>
      </c>
      <c r="AG246" s="1" t="s">
        <v>2153</v>
      </c>
      <c r="AH246" s="2">
        <v>43295.0</v>
      </c>
      <c r="AI246" s="1" t="s">
        <v>631</v>
      </c>
      <c r="AJ246" s="1">
        <v>28.0</v>
      </c>
      <c r="AK246" s="1">
        <v>29.0</v>
      </c>
      <c r="AL246" s="1">
        <v>2.0</v>
      </c>
      <c r="AM246" s="1" t="s">
        <v>58</v>
      </c>
    </row>
    <row r="247" ht="15.75" customHeight="1">
      <c r="A247" s="1" t="s">
        <v>2162</v>
      </c>
      <c r="B247" s="1" t="s">
        <v>41</v>
      </c>
      <c r="C247" s="1" t="s">
        <v>160</v>
      </c>
      <c r="D247" s="2">
        <v>43295.0</v>
      </c>
      <c r="E247" s="1" t="s">
        <v>2163</v>
      </c>
      <c r="F247" s="1" t="s">
        <v>2164</v>
      </c>
      <c r="G247" s="1" t="s">
        <v>2165</v>
      </c>
      <c r="H247" s="1" t="s">
        <v>2166</v>
      </c>
      <c r="L247" s="1" t="s">
        <v>2167</v>
      </c>
      <c r="M247" s="1" t="s">
        <v>708</v>
      </c>
      <c r="N247" s="1">
        <v>3125.0</v>
      </c>
      <c r="O247" s="1" t="s">
        <v>49</v>
      </c>
      <c r="P247" s="1">
        <v>4.20579377E8</v>
      </c>
      <c r="Q247" s="1" t="str">
        <f>"420579377"</f>
        <v>420579377</v>
      </c>
      <c r="S247" s="1" t="str">
        <f t="shared" si="59"/>
        <v/>
      </c>
      <c r="T247" s="1">
        <v>4.20579377E8</v>
      </c>
      <c r="U247" s="1" t="str">
        <f>"0420579377"</f>
        <v>0420579377</v>
      </c>
      <c r="V247" s="1" t="s">
        <v>2168</v>
      </c>
      <c r="W247" s="1" t="s">
        <v>51</v>
      </c>
      <c r="Y247" s="1" t="s">
        <v>115</v>
      </c>
      <c r="Z247" s="1" t="s">
        <v>2169</v>
      </c>
      <c r="AB247" s="1" t="s">
        <v>54</v>
      </c>
      <c r="AC247" s="1" t="s">
        <v>55</v>
      </c>
      <c r="AD247" s="1">
        <v>4.0</v>
      </c>
      <c r="AE247" s="1" t="s">
        <v>180</v>
      </c>
      <c r="AF247" s="1">
        <v>4.0</v>
      </c>
      <c r="AG247" s="1" t="s">
        <v>160</v>
      </c>
      <c r="AH247" s="2">
        <v>43295.0</v>
      </c>
      <c r="AI247" s="1" t="s">
        <v>1298</v>
      </c>
      <c r="AJ247" s="1">
        <v>7.0</v>
      </c>
      <c r="AK247" s="1">
        <v>10.0</v>
      </c>
      <c r="AL247" s="1">
        <v>4.0</v>
      </c>
      <c r="AM247" s="1" t="s">
        <v>58</v>
      </c>
    </row>
    <row r="248" ht="15.75" customHeight="1">
      <c r="A248" s="1" t="s">
        <v>2170</v>
      </c>
      <c r="B248" s="1" t="s">
        <v>41</v>
      </c>
      <c r="C248" s="1" t="s">
        <v>2171</v>
      </c>
      <c r="D248" s="2">
        <v>43295.0</v>
      </c>
      <c r="E248" s="1" t="s">
        <v>2172</v>
      </c>
      <c r="F248" s="1" t="s">
        <v>2173</v>
      </c>
      <c r="G248" s="1" t="s">
        <v>2174</v>
      </c>
      <c r="H248" s="1" t="s">
        <v>2175</v>
      </c>
      <c r="L248" s="1" t="s">
        <v>2176</v>
      </c>
      <c r="M248" s="1" t="s">
        <v>1781</v>
      </c>
      <c r="N248" s="1">
        <v>3144.0</v>
      </c>
      <c r="O248" s="1" t="s">
        <v>49</v>
      </c>
      <c r="P248" s="1">
        <v>4.70575915E8</v>
      </c>
      <c r="Q248" s="1" t="str">
        <f>"470575915"</f>
        <v>470575915</v>
      </c>
      <c r="S248" s="1" t="str">
        <f t="shared" si="59"/>
        <v/>
      </c>
      <c r="U248" s="1" t="str">
        <f>""</f>
        <v/>
      </c>
      <c r="V248" s="1" t="s">
        <v>2177</v>
      </c>
      <c r="W248" s="1" t="s">
        <v>51</v>
      </c>
      <c r="Y248" s="1" t="s">
        <v>115</v>
      </c>
      <c r="Z248" s="1" t="s">
        <v>2178</v>
      </c>
      <c r="AB248" s="1" t="s">
        <v>54</v>
      </c>
      <c r="AC248" s="1" t="s">
        <v>55</v>
      </c>
      <c r="AD248" s="1">
        <v>2.0</v>
      </c>
      <c r="AE248" s="1" t="s">
        <v>56</v>
      </c>
      <c r="AF248" s="1">
        <v>2.0</v>
      </c>
      <c r="AG248" s="1" t="s">
        <v>2171</v>
      </c>
      <c r="AH248" s="2">
        <v>43295.0</v>
      </c>
      <c r="AI248" s="1" t="s">
        <v>631</v>
      </c>
      <c r="AJ248" s="1">
        <v>25.0</v>
      </c>
      <c r="AK248" s="1">
        <v>25.0</v>
      </c>
      <c r="AL248" s="1">
        <v>1.0</v>
      </c>
      <c r="AM248" s="1" t="s">
        <v>58</v>
      </c>
    </row>
    <row r="249" ht="15.75" customHeight="1">
      <c r="A249" s="1" t="s">
        <v>2179</v>
      </c>
      <c r="B249" s="1" t="s">
        <v>41</v>
      </c>
      <c r="C249" s="1" t="s">
        <v>2180</v>
      </c>
      <c r="D249" s="2">
        <v>43295.0</v>
      </c>
      <c r="E249" s="1" t="s">
        <v>2181</v>
      </c>
      <c r="F249" s="1" t="s">
        <v>2182</v>
      </c>
      <c r="G249" s="1" t="s">
        <v>2183</v>
      </c>
      <c r="H249" s="1" t="s">
        <v>2184</v>
      </c>
      <c r="L249" s="1" t="s">
        <v>2185</v>
      </c>
      <c r="M249" s="1" t="s">
        <v>698</v>
      </c>
      <c r="N249" s="1">
        <v>3204.0</v>
      </c>
      <c r="O249" s="1" t="s">
        <v>49</v>
      </c>
      <c r="P249" s="1">
        <v>4.35176178E8</v>
      </c>
      <c r="Q249" s="1" t="str">
        <f>"435176178"</f>
        <v>435176178</v>
      </c>
      <c r="S249" s="1" t="str">
        <f t="shared" si="59"/>
        <v/>
      </c>
      <c r="T249" s="1">
        <v>4.35176178E8</v>
      </c>
      <c r="U249" s="1" t="str">
        <f>"0435176178"</f>
        <v>0435176178</v>
      </c>
      <c r="V249" s="1" t="s">
        <v>2186</v>
      </c>
      <c r="W249" s="1" t="s">
        <v>51</v>
      </c>
      <c r="Y249" s="1" t="s">
        <v>52</v>
      </c>
      <c r="Z249" s="1" t="s">
        <v>2187</v>
      </c>
      <c r="AB249" s="1" t="s">
        <v>54</v>
      </c>
      <c r="AC249" s="1" t="s">
        <v>55</v>
      </c>
      <c r="AD249" s="1">
        <v>5.0</v>
      </c>
      <c r="AE249" s="1" t="s">
        <v>180</v>
      </c>
      <c r="AF249" s="1">
        <v>4.0</v>
      </c>
      <c r="AG249" s="1" t="s">
        <v>2180</v>
      </c>
      <c r="AH249" s="2">
        <v>43295.0</v>
      </c>
      <c r="AI249" s="1" t="s">
        <v>631</v>
      </c>
      <c r="AJ249" s="1">
        <v>28.0</v>
      </c>
      <c r="AK249" s="1">
        <v>29.0</v>
      </c>
      <c r="AL249" s="1">
        <v>2.0</v>
      </c>
      <c r="AM249" s="1" t="s">
        <v>58</v>
      </c>
    </row>
    <row r="250" ht="15.75" customHeight="1">
      <c r="A250" s="1" t="s">
        <v>2188</v>
      </c>
      <c r="B250" s="1" t="s">
        <v>41</v>
      </c>
      <c r="C250" s="1" t="s">
        <v>1191</v>
      </c>
      <c r="D250" s="2">
        <v>43295.0</v>
      </c>
      <c r="E250" s="1" t="s">
        <v>2189</v>
      </c>
      <c r="F250" s="1" t="s">
        <v>2190</v>
      </c>
      <c r="G250" s="1" t="s">
        <v>2191</v>
      </c>
      <c r="H250" s="1" t="s">
        <v>2192</v>
      </c>
      <c r="L250" s="1" t="s">
        <v>2193</v>
      </c>
      <c r="M250" s="1" t="s">
        <v>2194</v>
      </c>
      <c r="N250" s="1">
        <v>3128.0</v>
      </c>
      <c r="O250" s="1" t="s">
        <v>49</v>
      </c>
      <c r="P250" s="1">
        <v>3.98422771E8</v>
      </c>
      <c r="Q250" s="1" t="str">
        <f>"398422771"</f>
        <v>398422771</v>
      </c>
      <c r="S250" s="1" t="str">
        <f t="shared" si="59"/>
        <v/>
      </c>
      <c r="T250" s="1">
        <v>4.51903121E8</v>
      </c>
      <c r="U250" s="1" t="str">
        <f>"0451903121"</f>
        <v>0451903121</v>
      </c>
      <c r="V250" s="1" t="s">
        <v>2195</v>
      </c>
      <c r="W250" s="1" t="s">
        <v>51</v>
      </c>
      <c r="Y250" s="1" t="s">
        <v>115</v>
      </c>
      <c r="Z250" s="1" t="s">
        <v>2196</v>
      </c>
      <c r="AB250" s="1" t="s">
        <v>54</v>
      </c>
      <c r="AC250" s="1" t="s">
        <v>55</v>
      </c>
      <c r="AD250" s="1">
        <v>4.0</v>
      </c>
      <c r="AE250" s="1" t="s">
        <v>180</v>
      </c>
      <c r="AF250" s="1">
        <v>4.0</v>
      </c>
      <c r="AG250" s="1" t="s">
        <v>1191</v>
      </c>
      <c r="AH250" s="2">
        <v>43295.0</v>
      </c>
      <c r="AI250" s="1" t="s">
        <v>1024</v>
      </c>
      <c r="AJ250" s="1">
        <v>35.0</v>
      </c>
      <c r="AK250" s="1">
        <v>36.0</v>
      </c>
      <c r="AL250" s="1">
        <v>2.0</v>
      </c>
      <c r="AM250" s="1" t="s">
        <v>58</v>
      </c>
    </row>
    <row r="251" ht="15.75" customHeight="1">
      <c r="A251" s="1" t="s">
        <v>2197</v>
      </c>
      <c r="B251" s="1" t="s">
        <v>41</v>
      </c>
      <c r="C251" s="1" t="s">
        <v>492</v>
      </c>
      <c r="D251" s="2">
        <v>43295.0</v>
      </c>
      <c r="E251" s="1" t="s">
        <v>2198</v>
      </c>
      <c r="F251" s="1" t="s">
        <v>2199</v>
      </c>
      <c r="G251" s="1" t="s">
        <v>2200</v>
      </c>
      <c r="H251" s="1" t="s">
        <v>2201</v>
      </c>
      <c r="L251" s="1" t="s">
        <v>2202</v>
      </c>
      <c r="M251" s="1" t="s">
        <v>569</v>
      </c>
      <c r="N251" s="1">
        <v>3108.0</v>
      </c>
      <c r="O251" s="1" t="s">
        <v>49</v>
      </c>
      <c r="P251" s="1">
        <v>3.99721732E8</v>
      </c>
      <c r="Q251" s="1" t="str">
        <f>"399721732"</f>
        <v>399721732</v>
      </c>
      <c r="S251" s="1" t="str">
        <f t="shared" si="59"/>
        <v/>
      </c>
      <c r="T251" s="1">
        <v>4.24200374E8</v>
      </c>
      <c r="U251" s="1" t="str">
        <f>"0424200374"</f>
        <v>0424200374</v>
      </c>
      <c r="V251" s="1" t="s">
        <v>2203</v>
      </c>
      <c r="W251" s="1" t="s">
        <v>51</v>
      </c>
      <c r="Y251" s="1" t="s">
        <v>115</v>
      </c>
      <c r="Z251" s="1" t="s">
        <v>2204</v>
      </c>
      <c r="AB251" s="1" t="s">
        <v>54</v>
      </c>
      <c r="AC251" s="1" t="s">
        <v>55</v>
      </c>
      <c r="AD251" s="1">
        <v>4.0</v>
      </c>
      <c r="AE251" s="1" t="s">
        <v>180</v>
      </c>
      <c r="AF251" s="1">
        <v>4.0</v>
      </c>
      <c r="AG251" s="1" t="s">
        <v>492</v>
      </c>
      <c r="AH251" s="2">
        <v>43295.0</v>
      </c>
      <c r="AI251" s="1" t="s">
        <v>138</v>
      </c>
      <c r="AJ251" s="1">
        <v>7.0</v>
      </c>
      <c r="AK251" s="1">
        <v>8.0</v>
      </c>
      <c r="AL251" s="1">
        <v>2.0</v>
      </c>
      <c r="AM251" s="1" t="s">
        <v>58</v>
      </c>
    </row>
    <row r="252" ht="15.75" customHeight="1">
      <c r="A252" s="1" t="s">
        <v>2205</v>
      </c>
      <c r="B252" s="1" t="s">
        <v>41</v>
      </c>
      <c r="C252" s="1" t="s">
        <v>2206</v>
      </c>
      <c r="D252" s="2">
        <v>43295.0</v>
      </c>
      <c r="E252" s="1" t="s">
        <v>2207</v>
      </c>
      <c r="F252" s="1" t="s">
        <v>2208</v>
      </c>
      <c r="G252" s="1" t="s">
        <v>250</v>
      </c>
      <c r="H252" s="1" t="s">
        <v>2209</v>
      </c>
      <c r="L252" s="1" t="s">
        <v>2210</v>
      </c>
      <c r="M252" s="1" t="s">
        <v>398</v>
      </c>
      <c r="N252" s="1">
        <v>3107.0</v>
      </c>
      <c r="O252" s="1" t="s">
        <v>49</v>
      </c>
      <c r="P252" s="1">
        <v>4.20622623E8</v>
      </c>
      <c r="Q252" s="1" t="str">
        <f>"420622623"</f>
        <v>420622623</v>
      </c>
      <c r="S252" s="1" t="str">
        <f t="shared" si="59"/>
        <v/>
      </c>
      <c r="U252" s="1" t="str">
        <f t="shared" ref="U252:U257" si="60">""</f>
        <v/>
      </c>
      <c r="V252" s="1" t="s">
        <v>2211</v>
      </c>
      <c r="W252" s="1" t="s">
        <v>51</v>
      </c>
      <c r="Y252" s="1" t="s">
        <v>115</v>
      </c>
      <c r="Z252" s="1" t="s">
        <v>2212</v>
      </c>
      <c r="AB252" s="1" t="s">
        <v>54</v>
      </c>
      <c r="AC252" s="1" t="s">
        <v>55</v>
      </c>
      <c r="AD252" s="1">
        <v>2.0</v>
      </c>
      <c r="AE252" s="1" t="s">
        <v>56</v>
      </c>
      <c r="AF252" s="1">
        <v>2.0</v>
      </c>
      <c r="AG252" s="1" t="s">
        <v>2206</v>
      </c>
      <c r="AH252" s="2">
        <v>43295.0</v>
      </c>
      <c r="AI252" s="1" t="s">
        <v>631</v>
      </c>
      <c r="AJ252" s="1">
        <v>26.0</v>
      </c>
      <c r="AK252" s="1">
        <v>27.0</v>
      </c>
      <c r="AL252" s="1">
        <v>2.0</v>
      </c>
      <c r="AM252" s="1" t="s">
        <v>58</v>
      </c>
    </row>
    <row r="253" ht="15.75" customHeight="1">
      <c r="A253" s="1" t="s">
        <v>2213</v>
      </c>
      <c r="B253" s="1" t="s">
        <v>41</v>
      </c>
      <c r="C253" s="1" t="s">
        <v>2214</v>
      </c>
      <c r="D253" s="2">
        <v>43295.0</v>
      </c>
      <c r="E253" s="1" t="s">
        <v>2215</v>
      </c>
      <c r="F253" s="1" t="s">
        <v>2216</v>
      </c>
      <c r="G253" s="1" t="s">
        <v>2217</v>
      </c>
      <c r="H253" s="1" t="s">
        <v>2218</v>
      </c>
      <c r="L253" s="1" t="s">
        <v>2219</v>
      </c>
      <c r="M253" s="1" t="s">
        <v>2220</v>
      </c>
      <c r="N253" s="1">
        <v>3193.0</v>
      </c>
      <c r="O253" s="1" t="s">
        <v>49</v>
      </c>
      <c r="P253" s="1">
        <v>6.144813131E9</v>
      </c>
      <c r="Q253" s="1" t="str">
        <f>"6144813131"</f>
        <v>6144813131</v>
      </c>
      <c r="R253" s="1">
        <v>6.0</v>
      </c>
      <c r="S253" s="1" t="str">
        <f>"6"</f>
        <v>6</v>
      </c>
      <c r="U253" s="1" t="str">
        <f t="shared" si="60"/>
        <v/>
      </c>
      <c r="V253" s="1" t="s">
        <v>2221</v>
      </c>
      <c r="W253" s="1" t="s">
        <v>51</v>
      </c>
      <c r="X253" s="1" t="s">
        <v>2222</v>
      </c>
      <c r="Y253" s="1" t="s">
        <v>52</v>
      </c>
      <c r="Z253" s="1" t="s">
        <v>2223</v>
      </c>
      <c r="AB253" s="1" t="s">
        <v>54</v>
      </c>
      <c r="AC253" s="1" t="s">
        <v>55</v>
      </c>
      <c r="AD253" s="1">
        <v>3.0</v>
      </c>
      <c r="AE253" s="1" t="s">
        <v>56</v>
      </c>
      <c r="AF253" s="1">
        <v>3.0</v>
      </c>
      <c r="AG253" s="1" t="s">
        <v>2214</v>
      </c>
      <c r="AH253" s="2">
        <v>43295.0</v>
      </c>
      <c r="AI253" s="1" t="s">
        <v>639</v>
      </c>
      <c r="AJ253" s="1">
        <v>35.0</v>
      </c>
      <c r="AK253" s="1">
        <v>36.0</v>
      </c>
      <c r="AL253" s="1">
        <v>2.0</v>
      </c>
      <c r="AM253" s="1" t="s">
        <v>58</v>
      </c>
    </row>
    <row r="254" ht="15.75" customHeight="1">
      <c r="A254" s="1" t="s">
        <v>2224</v>
      </c>
      <c r="B254" s="1" t="s">
        <v>41</v>
      </c>
      <c r="C254" s="1" t="s">
        <v>2225</v>
      </c>
      <c r="D254" s="2">
        <v>43295.0</v>
      </c>
      <c r="E254" s="1" t="s">
        <v>2226</v>
      </c>
      <c r="F254" s="1" t="s">
        <v>2227</v>
      </c>
      <c r="G254" s="1" t="s">
        <v>2228</v>
      </c>
      <c r="H254" s="1" t="s">
        <v>46</v>
      </c>
      <c r="K254" s="1" t="s">
        <v>2229</v>
      </c>
      <c r="Q254" s="1" t="str">
        <f>""</f>
        <v/>
      </c>
      <c r="S254" s="1" t="str">
        <f t="shared" ref="S254:S260" si="61">""</f>
        <v/>
      </c>
      <c r="U254" s="1" t="str">
        <f t="shared" si="60"/>
        <v/>
      </c>
      <c r="W254" s="1" t="s">
        <v>70</v>
      </c>
      <c r="AB254" s="1" t="s">
        <v>54</v>
      </c>
      <c r="AD254" s="1">
        <v>2.0</v>
      </c>
      <c r="AE254" s="1" t="s">
        <v>56</v>
      </c>
      <c r="AF254" s="1">
        <v>2.0</v>
      </c>
      <c r="AG254" s="1" t="s">
        <v>2225</v>
      </c>
      <c r="AH254" s="2">
        <v>43295.0</v>
      </c>
      <c r="AI254" s="1" t="s">
        <v>1997</v>
      </c>
      <c r="AJ254" s="1">
        <v>14.0</v>
      </c>
      <c r="AK254" s="1">
        <v>19.0</v>
      </c>
      <c r="AL254" s="1">
        <v>6.0</v>
      </c>
      <c r="AM254" s="1" t="s">
        <v>632</v>
      </c>
    </row>
    <row r="255" ht="15.75" customHeight="1">
      <c r="A255" s="1" t="s">
        <v>2230</v>
      </c>
      <c r="B255" s="1" t="s">
        <v>41</v>
      </c>
      <c r="C255" s="1" t="s">
        <v>2231</v>
      </c>
      <c r="D255" s="2">
        <v>43295.0</v>
      </c>
      <c r="E255" s="1" t="s">
        <v>2232</v>
      </c>
      <c r="F255" s="1" t="s">
        <v>2233</v>
      </c>
      <c r="G255" s="1" t="s">
        <v>2234</v>
      </c>
      <c r="H255" s="1" t="s">
        <v>2235</v>
      </c>
      <c r="L255" s="1" t="s">
        <v>2236</v>
      </c>
      <c r="M255" s="1" t="s">
        <v>368</v>
      </c>
      <c r="N255" s="1">
        <v>3109.0</v>
      </c>
      <c r="O255" s="1" t="s">
        <v>49</v>
      </c>
      <c r="P255" s="1">
        <v>4.00807425E8</v>
      </c>
      <c r="Q255" s="1" t="str">
        <f>"400807425"</f>
        <v>400807425</v>
      </c>
      <c r="S255" s="1" t="str">
        <f t="shared" si="61"/>
        <v/>
      </c>
      <c r="U255" s="1" t="str">
        <f t="shared" si="60"/>
        <v/>
      </c>
      <c r="V255" s="1" t="s">
        <v>2237</v>
      </c>
      <c r="W255" s="1" t="s">
        <v>70</v>
      </c>
      <c r="Y255" s="1" t="s">
        <v>115</v>
      </c>
      <c r="Z255" s="1" t="s">
        <v>2238</v>
      </c>
      <c r="AB255" s="1" t="s">
        <v>54</v>
      </c>
      <c r="AC255" s="1" t="s">
        <v>55</v>
      </c>
      <c r="AD255" s="1">
        <v>5.0</v>
      </c>
      <c r="AE255" s="1" t="s">
        <v>180</v>
      </c>
      <c r="AF255" s="1">
        <v>4.0</v>
      </c>
      <c r="AG255" s="1" t="s">
        <v>2231</v>
      </c>
      <c r="AH255" s="2">
        <v>43295.0</v>
      </c>
      <c r="AI255" s="1" t="s">
        <v>117</v>
      </c>
      <c r="AJ255" s="1">
        <v>19.0</v>
      </c>
      <c r="AK255" s="1">
        <v>21.0</v>
      </c>
      <c r="AL255" s="1">
        <v>3.0</v>
      </c>
      <c r="AM255" s="1" t="s">
        <v>58</v>
      </c>
    </row>
    <row r="256" ht="15.75" customHeight="1">
      <c r="A256" s="1" t="s">
        <v>2239</v>
      </c>
      <c r="B256" s="1" t="s">
        <v>41</v>
      </c>
      <c r="C256" s="1" t="s">
        <v>2225</v>
      </c>
      <c r="D256" s="2">
        <v>43295.0</v>
      </c>
      <c r="E256" s="1" t="s">
        <v>2240</v>
      </c>
      <c r="F256" s="1" t="s">
        <v>2241</v>
      </c>
      <c r="G256" s="1" t="s">
        <v>808</v>
      </c>
      <c r="H256" s="1" t="s">
        <v>2242</v>
      </c>
      <c r="K256" s="1" t="s">
        <v>2243</v>
      </c>
      <c r="P256" s="1" t="s">
        <v>808</v>
      </c>
      <c r="Q256" s="1" t="str">
        <f>"WHITE"</f>
        <v>WHITE</v>
      </c>
      <c r="S256" s="1" t="str">
        <f t="shared" si="61"/>
        <v/>
      </c>
      <c r="U256" s="1" t="str">
        <f t="shared" si="60"/>
        <v/>
      </c>
      <c r="W256" s="1" t="s">
        <v>70</v>
      </c>
      <c r="AB256" s="1" t="s">
        <v>54</v>
      </c>
      <c r="AD256" s="1">
        <v>2.0</v>
      </c>
      <c r="AE256" s="1" t="s">
        <v>56</v>
      </c>
      <c r="AF256" s="1">
        <v>2.0</v>
      </c>
      <c r="AG256" s="1" t="s">
        <v>2225</v>
      </c>
      <c r="AH256" s="2">
        <v>43295.0</v>
      </c>
      <c r="AI256" s="1" t="s">
        <v>1997</v>
      </c>
      <c r="AJ256" s="1">
        <v>24.0</v>
      </c>
      <c r="AK256" s="1">
        <v>25.0</v>
      </c>
      <c r="AL256" s="1">
        <v>2.0</v>
      </c>
      <c r="AM256" s="1" t="s">
        <v>632</v>
      </c>
    </row>
    <row r="257" ht="15.75" customHeight="1">
      <c r="A257" s="1" t="s">
        <v>2244</v>
      </c>
      <c r="B257" s="1" t="s">
        <v>41</v>
      </c>
      <c r="C257" s="1" t="s">
        <v>2225</v>
      </c>
      <c r="D257" s="2">
        <v>43295.0</v>
      </c>
      <c r="E257" s="1" t="s">
        <v>2245</v>
      </c>
      <c r="F257" s="1" t="s">
        <v>2246</v>
      </c>
      <c r="G257" s="1" t="s">
        <v>2247</v>
      </c>
      <c r="H257" s="1" t="s">
        <v>2248</v>
      </c>
      <c r="K257" s="1" t="s">
        <v>2243</v>
      </c>
      <c r="Q257" s="1" t="str">
        <f>""</f>
        <v/>
      </c>
      <c r="S257" s="1" t="str">
        <f t="shared" si="61"/>
        <v/>
      </c>
      <c r="U257" s="1" t="str">
        <f t="shared" si="60"/>
        <v/>
      </c>
      <c r="W257" s="1" t="s">
        <v>70</v>
      </c>
      <c r="AB257" s="1" t="s">
        <v>54</v>
      </c>
      <c r="AD257" s="1">
        <v>2.0</v>
      </c>
      <c r="AE257" s="1" t="s">
        <v>56</v>
      </c>
      <c r="AF257" s="1">
        <v>2.0</v>
      </c>
      <c r="AG257" s="1" t="s">
        <v>2225</v>
      </c>
      <c r="AH257" s="2">
        <v>43295.0</v>
      </c>
      <c r="AI257" s="1" t="s">
        <v>1997</v>
      </c>
      <c r="AJ257" s="1">
        <v>26.0</v>
      </c>
      <c r="AK257" s="1">
        <v>27.0</v>
      </c>
      <c r="AL257" s="1">
        <v>2.0</v>
      </c>
      <c r="AM257" s="1" t="s">
        <v>632</v>
      </c>
    </row>
    <row r="258" ht="15.75" customHeight="1">
      <c r="A258" s="1" t="s">
        <v>2249</v>
      </c>
      <c r="B258" s="1" t="s">
        <v>41</v>
      </c>
      <c r="C258" s="1" t="s">
        <v>2250</v>
      </c>
      <c r="D258" s="2">
        <v>43295.0</v>
      </c>
      <c r="E258" s="1" t="s">
        <v>2251</v>
      </c>
      <c r="F258" s="1" t="s">
        <v>2252</v>
      </c>
      <c r="G258" s="1" t="s">
        <v>2253</v>
      </c>
      <c r="H258" s="1" t="s">
        <v>865</v>
      </c>
      <c r="L258" s="1" t="s">
        <v>2254</v>
      </c>
      <c r="M258" s="1" t="s">
        <v>1364</v>
      </c>
      <c r="N258" s="1">
        <v>3089.0</v>
      </c>
      <c r="O258" s="1" t="s">
        <v>49</v>
      </c>
      <c r="P258" s="1">
        <v>3.94360191E8</v>
      </c>
      <c r="Q258" s="1" t="str">
        <f>"394360191"</f>
        <v>394360191</v>
      </c>
      <c r="S258" s="1" t="str">
        <f t="shared" si="61"/>
        <v/>
      </c>
      <c r="T258" s="1">
        <v>4.34434677E8</v>
      </c>
      <c r="U258" s="1" t="str">
        <f>"0434434677"</f>
        <v>0434434677</v>
      </c>
      <c r="V258" s="1" t="s">
        <v>2255</v>
      </c>
      <c r="W258" s="1" t="s">
        <v>51</v>
      </c>
      <c r="Y258" s="1" t="s">
        <v>115</v>
      </c>
      <c r="Z258" s="1" t="s">
        <v>2256</v>
      </c>
      <c r="AB258" s="1" t="s">
        <v>54</v>
      </c>
      <c r="AC258" s="1" t="s">
        <v>55</v>
      </c>
      <c r="AD258" s="1">
        <v>2.0</v>
      </c>
      <c r="AE258" s="1" t="s">
        <v>56</v>
      </c>
      <c r="AF258" s="1">
        <v>2.0</v>
      </c>
      <c r="AG258" s="1" t="s">
        <v>2250</v>
      </c>
      <c r="AH258" s="2">
        <v>43295.0</v>
      </c>
      <c r="AI258" s="1" t="s">
        <v>1997</v>
      </c>
      <c r="AJ258" s="1">
        <v>3.0</v>
      </c>
      <c r="AK258" s="1">
        <v>6.0</v>
      </c>
      <c r="AL258" s="1">
        <v>4.0</v>
      </c>
      <c r="AM258" s="1" t="s">
        <v>58</v>
      </c>
    </row>
    <row r="259" ht="15.75" customHeight="1">
      <c r="A259" s="1" t="s">
        <v>2257</v>
      </c>
      <c r="B259" s="1" t="s">
        <v>41</v>
      </c>
      <c r="C259" s="1" t="s">
        <v>2258</v>
      </c>
      <c r="D259" s="2">
        <v>43295.0</v>
      </c>
      <c r="E259" s="1" t="s">
        <v>1907</v>
      </c>
      <c r="F259" s="1" t="s">
        <v>1908</v>
      </c>
      <c r="G259" s="1" t="s">
        <v>1909</v>
      </c>
      <c r="H259" s="1" t="s">
        <v>237</v>
      </c>
      <c r="L259" s="1" t="s">
        <v>1910</v>
      </c>
      <c r="M259" s="1" t="s">
        <v>146</v>
      </c>
      <c r="N259" s="1">
        <v>3106.0</v>
      </c>
      <c r="O259" s="1" t="s">
        <v>49</v>
      </c>
      <c r="P259" s="1">
        <v>4.25807993E8</v>
      </c>
      <c r="Q259" s="1" t="str">
        <f>"425807993"</f>
        <v>425807993</v>
      </c>
      <c r="S259" s="1" t="str">
        <f t="shared" si="61"/>
        <v/>
      </c>
      <c r="T259" s="1">
        <v>4.25807993E8</v>
      </c>
      <c r="U259" s="1" t="str">
        <f>"0425807993"</f>
        <v>0425807993</v>
      </c>
      <c r="V259" s="1" t="s">
        <v>1911</v>
      </c>
      <c r="W259" s="1" t="s">
        <v>51</v>
      </c>
      <c r="Y259" s="1" t="s">
        <v>115</v>
      </c>
      <c r="Z259" s="1" t="s">
        <v>2259</v>
      </c>
      <c r="AB259" s="1" t="s">
        <v>54</v>
      </c>
      <c r="AC259" s="1" t="s">
        <v>55</v>
      </c>
      <c r="AD259" s="1">
        <v>3.0</v>
      </c>
      <c r="AE259" s="1" t="s">
        <v>56</v>
      </c>
      <c r="AF259" s="1">
        <v>3.0</v>
      </c>
      <c r="AG259" s="1" t="s">
        <v>2258</v>
      </c>
      <c r="AH259" s="2">
        <v>43295.0</v>
      </c>
      <c r="AI259" s="1" t="s">
        <v>670</v>
      </c>
      <c r="AJ259" s="1">
        <v>41.0</v>
      </c>
      <c r="AK259" s="1">
        <v>41.0</v>
      </c>
      <c r="AL259" s="1">
        <v>1.0</v>
      </c>
      <c r="AM259" s="1" t="s">
        <v>58</v>
      </c>
    </row>
    <row r="260" ht="15.75" customHeight="1">
      <c r="A260" s="1" t="s">
        <v>2260</v>
      </c>
      <c r="B260" s="1" t="s">
        <v>41</v>
      </c>
      <c r="C260" s="1" t="s">
        <v>2261</v>
      </c>
      <c r="D260" s="2">
        <v>43295.0</v>
      </c>
      <c r="E260" s="1" t="s">
        <v>2262</v>
      </c>
      <c r="F260" s="1" t="s">
        <v>2263</v>
      </c>
      <c r="G260" s="1" t="s">
        <v>2264</v>
      </c>
      <c r="H260" s="1" t="s">
        <v>2265</v>
      </c>
      <c r="L260" s="1" t="s">
        <v>2266</v>
      </c>
      <c r="M260" s="1" t="s">
        <v>378</v>
      </c>
      <c r="N260" s="1">
        <v>3101.0</v>
      </c>
      <c r="O260" s="1" t="s">
        <v>49</v>
      </c>
      <c r="P260" s="1">
        <v>4.69038725E8</v>
      </c>
      <c r="Q260" s="1" t="str">
        <f>"469038725"</f>
        <v>469038725</v>
      </c>
      <c r="S260" s="1" t="str">
        <f t="shared" si="61"/>
        <v/>
      </c>
      <c r="T260" s="1">
        <v>4.69038725E8</v>
      </c>
      <c r="U260" s="1" t="str">
        <f>"0469038725"</f>
        <v>0469038725</v>
      </c>
      <c r="V260" s="1" t="s">
        <v>2267</v>
      </c>
      <c r="W260" s="1" t="s">
        <v>51</v>
      </c>
      <c r="Y260" s="1" t="s">
        <v>52</v>
      </c>
      <c r="Z260" s="1" t="s">
        <v>2268</v>
      </c>
      <c r="AB260" s="1" t="s">
        <v>54</v>
      </c>
      <c r="AC260" s="1" t="s">
        <v>55</v>
      </c>
      <c r="AD260" s="1">
        <v>4.0</v>
      </c>
      <c r="AE260" s="1" t="s">
        <v>180</v>
      </c>
      <c r="AF260" s="1">
        <v>4.0</v>
      </c>
      <c r="AG260" s="1" t="s">
        <v>2261</v>
      </c>
      <c r="AH260" s="2">
        <v>43295.0</v>
      </c>
      <c r="AI260" s="1" t="s">
        <v>138</v>
      </c>
      <c r="AJ260" s="1">
        <v>27.0</v>
      </c>
      <c r="AK260" s="1">
        <v>28.0</v>
      </c>
      <c r="AL260" s="1">
        <v>2.0</v>
      </c>
      <c r="AM260" s="1" t="s">
        <v>58</v>
      </c>
      <c r="AN260" s="1" t="s">
        <v>1667</v>
      </c>
    </row>
    <row r="261" ht="15.75" customHeight="1">
      <c r="A261" s="1" t="s">
        <v>2269</v>
      </c>
      <c r="B261" s="1" t="s">
        <v>41</v>
      </c>
      <c r="C261" s="1" t="s">
        <v>2225</v>
      </c>
      <c r="D261" s="2">
        <v>43295.0</v>
      </c>
      <c r="E261" s="1" t="s">
        <v>2270</v>
      </c>
      <c r="F261" s="1" t="s">
        <v>2271</v>
      </c>
      <c r="G261" s="1" t="s">
        <v>2272</v>
      </c>
      <c r="H261" s="1" t="s">
        <v>2273</v>
      </c>
      <c r="Q261" s="1" t="str">
        <f>""</f>
        <v/>
      </c>
      <c r="R261" s="1">
        <v>0.0</v>
      </c>
      <c r="S261" s="1" t="str">
        <f>"0"</f>
        <v>0</v>
      </c>
      <c r="T261" s="1">
        <v>0.0</v>
      </c>
      <c r="U261" s="1" t="str">
        <f>"0"</f>
        <v>0</v>
      </c>
      <c r="W261" s="1" t="s">
        <v>70</v>
      </c>
      <c r="Y261" s="1" t="s">
        <v>1743</v>
      </c>
      <c r="AB261" s="1" t="s">
        <v>54</v>
      </c>
      <c r="AD261" s="1">
        <v>2.0</v>
      </c>
      <c r="AE261" s="1" t="s">
        <v>56</v>
      </c>
      <c r="AF261" s="1">
        <v>2.0</v>
      </c>
      <c r="AG261" s="1" t="s">
        <v>2225</v>
      </c>
      <c r="AH261" s="2">
        <v>43295.0</v>
      </c>
      <c r="AI261" s="1" t="s">
        <v>1997</v>
      </c>
      <c r="AJ261" s="1">
        <v>22.0</v>
      </c>
      <c r="AK261" s="1">
        <v>23.0</v>
      </c>
      <c r="AL261" s="1">
        <v>2.0</v>
      </c>
      <c r="AM261" s="1" t="s">
        <v>632</v>
      </c>
    </row>
    <row r="262" ht="15.75" customHeight="1">
      <c r="A262" s="1" t="s">
        <v>2274</v>
      </c>
      <c r="B262" s="1" t="s">
        <v>41</v>
      </c>
      <c r="C262" s="1" t="s">
        <v>2275</v>
      </c>
      <c r="D262" s="2">
        <v>43295.0</v>
      </c>
      <c r="E262" s="1" t="s">
        <v>2276</v>
      </c>
      <c r="F262" s="1" t="s">
        <v>2277</v>
      </c>
      <c r="G262" s="1" t="s">
        <v>2278</v>
      </c>
      <c r="H262" s="1" t="s">
        <v>2279</v>
      </c>
      <c r="L262" s="1" t="s">
        <v>2280</v>
      </c>
      <c r="M262" s="1" t="s">
        <v>1587</v>
      </c>
      <c r="N262" s="1">
        <v>3006.0</v>
      </c>
      <c r="O262" s="1" t="s">
        <v>49</v>
      </c>
      <c r="P262" s="1">
        <v>4.23284781E8</v>
      </c>
      <c r="Q262" s="1" t="str">
        <f>"0423284781"</f>
        <v>0423284781</v>
      </c>
      <c r="S262" s="1" t="str">
        <f>""</f>
        <v/>
      </c>
      <c r="U262" s="1" t="str">
        <f>""</f>
        <v/>
      </c>
      <c r="V262" s="1" t="s">
        <v>2281</v>
      </c>
      <c r="W262" s="1" t="s">
        <v>70</v>
      </c>
      <c r="Y262" s="1" t="s">
        <v>1168</v>
      </c>
      <c r="Z262" s="1" t="s">
        <v>1458</v>
      </c>
      <c r="AB262" s="1" t="s">
        <v>54</v>
      </c>
      <c r="AC262" s="1" t="s">
        <v>55</v>
      </c>
      <c r="AD262" s="1">
        <v>2.0</v>
      </c>
      <c r="AE262" s="1" t="s">
        <v>56</v>
      </c>
      <c r="AF262" s="1">
        <v>2.0</v>
      </c>
      <c r="AG262" s="1" t="s">
        <v>2275</v>
      </c>
      <c r="AH262" s="2">
        <v>43295.0</v>
      </c>
      <c r="AI262" s="1" t="s">
        <v>1024</v>
      </c>
      <c r="AJ262" s="1">
        <v>34.0</v>
      </c>
      <c r="AK262" s="1">
        <v>35.0</v>
      </c>
      <c r="AL262" s="1">
        <v>2.0</v>
      </c>
      <c r="AM262" s="1" t="s">
        <v>58</v>
      </c>
    </row>
    <row r="263" ht="15.75" customHeight="1">
      <c r="A263" s="1" t="s">
        <v>2282</v>
      </c>
      <c r="B263" s="1" t="s">
        <v>41</v>
      </c>
      <c r="C263" s="1" t="s">
        <v>2283</v>
      </c>
      <c r="D263" s="2">
        <v>43295.0</v>
      </c>
      <c r="E263" s="1" t="s">
        <v>2284</v>
      </c>
      <c r="F263" s="1" t="s">
        <v>2285</v>
      </c>
      <c r="G263" s="1" t="s">
        <v>2286</v>
      </c>
      <c r="H263" s="1" t="s">
        <v>2287</v>
      </c>
      <c r="L263" s="1" t="s">
        <v>2288</v>
      </c>
      <c r="M263" s="1" t="s">
        <v>539</v>
      </c>
      <c r="N263" s="1">
        <v>3122.0</v>
      </c>
      <c r="O263" s="1" t="s">
        <v>49</v>
      </c>
      <c r="P263" s="1">
        <v>6.143436814E9</v>
      </c>
      <c r="Q263" s="1" t="str">
        <f>"6143436814"</f>
        <v>6143436814</v>
      </c>
      <c r="R263" s="1">
        <v>6.0</v>
      </c>
      <c r="S263" s="1" t="str">
        <f>"6"</f>
        <v>6</v>
      </c>
      <c r="T263" s="1">
        <v>6.1434368146E10</v>
      </c>
      <c r="U263" s="1" t="str">
        <f>"61434368146"</f>
        <v>61434368146</v>
      </c>
      <c r="V263" s="1" t="s">
        <v>2289</v>
      </c>
      <c r="W263" s="1" t="s">
        <v>51</v>
      </c>
      <c r="Y263" s="1" t="s">
        <v>52</v>
      </c>
      <c r="Z263" s="1" t="s">
        <v>2290</v>
      </c>
      <c r="AB263" s="1" t="s">
        <v>54</v>
      </c>
      <c r="AC263" s="1" t="s">
        <v>55</v>
      </c>
      <c r="AD263" s="1">
        <v>3.0</v>
      </c>
      <c r="AE263" s="1" t="s">
        <v>56</v>
      </c>
      <c r="AF263" s="1">
        <v>3.0</v>
      </c>
      <c r="AG263" s="1" t="s">
        <v>2283</v>
      </c>
      <c r="AH263" s="2">
        <v>43295.0</v>
      </c>
      <c r="AI263" s="1" t="s">
        <v>1003</v>
      </c>
      <c r="AJ263" s="1">
        <v>4.0</v>
      </c>
      <c r="AK263" s="1">
        <v>4.0</v>
      </c>
      <c r="AL263" s="1">
        <v>1.0</v>
      </c>
      <c r="AM263" s="1" t="s">
        <v>58</v>
      </c>
    </row>
    <row r="264" ht="15.75" customHeight="1">
      <c r="A264" s="1" t="s">
        <v>2291</v>
      </c>
      <c r="B264" s="1" t="s">
        <v>41</v>
      </c>
      <c r="C264" s="1" t="s">
        <v>2225</v>
      </c>
      <c r="D264" s="2">
        <v>43295.0</v>
      </c>
      <c r="E264" s="1" t="s">
        <v>2292</v>
      </c>
      <c r="F264" s="1" t="s">
        <v>2293</v>
      </c>
      <c r="G264" s="1" t="s">
        <v>2294</v>
      </c>
      <c r="H264" s="1" t="s">
        <v>1697</v>
      </c>
      <c r="K264" s="1" t="s">
        <v>2295</v>
      </c>
      <c r="Q264" s="1" t="str">
        <f t="shared" ref="Q264:Q280" si="62">""</f>
        <v/>
      </c>
      <c r="S264" s="1" t="str">
        <f t="shared" ref="S264:S267" si="63">""</f>
        <v/>
      </c>
      <c r="U264" s="1" t="str">
        <f t="shared" ref="U264:U267" si="64">""</f>
        <v/>
      </c>
      <c r="W264" s="1" t="s">
        <v>70</v>
      </c>
      <c r="AB264" s="1" t="s">
        <v>54</v>
      </c>
      <c r="AD264" s="1">
        <v>2.0</v>
      </c>
      <c r="AE264" s="1" t="s">
        <v>56</v>
      </c>
      <c r="AF264" s="1">
        <v>2.0</v>
      </c>
      <c r="AG264" s="1" t="s">
        <v>2225</v>
      </c>
      <c r="AH264" s="2">
        <v>43295.0</v>
      </c>
      <c r="AI264" s="1" t="s">
        <v>1997</v>
      </c>
      <c r="AJ264" s="1">
        <v>20.0</v>
      </c>
      <c r="AK264" s="1">
        <v>21.0</v>
      </c>
      <c r="AL264" s="1">
        <v>2.0</v>
      </c>
      <c r="AM264" s="1" t="s">
        <v>632</v>
      </c>
    </row>
    <row r="265" ht="15.75" customHeight="1">
      <c r="A265" s="1" t="s">
        <v>2296</v>
      </c>
      <c r="B265" s="1" t="s">
        <v>41</v>
      </c>
      <c r="C265" s="1" t="s">
        <v>2225</v>
      </c>
      <c r="D265" s="2">
        <v>43295.0</v>
      </c>
      <c r="E265" s="1" t="s">
        <v>2297</v>
      </c>
      <c r="F265" s="1" t="s">
        <v>2298</v>
      </c>
      <c r="G265" s="1" t="s">
        <v>2299</v>
      </c>
      <c r="H265" s="1" t="s">
        <v>865</v>
      </c>
      <c r="K265" s="1" t="s">
        <v>2295</v>
      </c>
      <c r="Q265" s="1" t="str">
        <f t="shared" si="62"/>
        <v/>
      </c>
      <c r="S265" s="1" t="str">
        <f t="shared" si="63"/>
        <v/>
      </c>
      <c r="U265" s="1" t="str">
        <f t="shared" si="64"/>
        <v/>
      </c>
      <c r="W265" s="1" t="s">
        <v>70</v>
      </c>
      <c r="AB265" s="1" t="s">
        <v>54</v>
      </c>
      <c r="AD265" s="1">
        <v>2.0</v>
      </c>
      <c r="AE265" s="1" t="s">
        <v>56</v>
      </c>
      <c r="AF265" s="1">
        <v>2.0</v>
      </c>
      <c r="AG265" s="1" t="s">
        <v>2225</v>
      </c>
      <c r="AH265" s="2">
        <v>43295.0</v>
      </c>
      <c r="AI265" s="1" t="s">
        <v>1997</v>
      </c>
      <c r="AJ265" s="1">
        <v>28.0</v>
      </c>
      <c r="AK265" s="1">
        <v>28.0</v>
      </c>
      <c r="AL265" s="1">
        <v>1.0</v>
      </c>
      <c r="AM265" s="1" t="s">
        <v>632</v>
      </c>
    </row>
    <row r="266" ht="15.75" customHeight="1">
      <c r="A266" s="1" t="s">
        <v>2296</v>
      </c>
      <c r="B266" s="1" t="s">
        <v>41</v>
      </c>
      <c r="C266" s="1" t="s">
        <v>2225</v>
      </c>
      <c r="D266" s="2">
        <v>43295.0</v>
      </c>
      <c r="E266" s="1" t="s">
        <v>2297</v>
      </c>
      <c r="F266" s="1" t="s">
        <v>2298</v>
      </c>
      <c r="G266" s="1" t="s">
        <v>2299</v>
      </c>
      <c r="H266" s="1" t="s">
        <v>865</v>
      </c>
      <c r="K266" s="1" t="s">
        <v>2295</v>
      </c>
      <c r="Q266" s="1" t="str">
        <f t="shared" si="62"/>
        <v/>
      </c>
      <c r="S266" s="1" t="str">
        <f t="shared" si="63"/>
        <v/>
      </c>
      <c r="U266" s="1" t="str">
        <f t="shared" si="64"/>
        <v/>
      </c>
      <c r="W266" s="1" t="s">
        <v>70</v>
      </c>
      <c r="AB266" s="1" t="s">
        <v>54</v>
      </c>
      <c r="AD266" s="1">
        <v>2.0</v>
      </c>
      <c r="AE266" s="1" t="s">
        <v>56</v>
      </c>
      <c r="AF266" s="1">
        <v>2.0</v>
      </c>
      <c r="AG266" s="1" t="s">
        <v>2225</v>
      </c>
      <c r="AH266" s="2">
        <v>43295.0</v>
      </c>
      <c r="AI266" s="1" t="s">
        <v>1997</v>
      </c>
      <c r="AJ266" s="1">
        <v>29.0</v>
      </c>
      <c r="AK266" s="1">
        <v>29.0</v>
      </c>
      <c r="AL266" s="1">
        <v>1.0</v>
      </c>
      <c r="AM266" s="1" t="s">
        <v>632</v>
      </c>
    </row>
    <row r="267" ht="15.75" customHeight="1">
      <c r="A267" s="1" t="s">
        <v>2300</v>
      </c>
      <c r="B267" s="1" t="s">
        <v>41</v>
      </c>
      <c r="C267" s="1" t="s">
        <v>2225</v>
      </c>
      <c r="D267" s="2">
        <v>43295.0</v>
      </c>
      <c r="E267" s="1" t="s">
        <v>2301</v>
      </c>
      <c r="F267" s="1" t="s">
        <v>2302</v>
      </c>
      <c r="G267" s="1" t="s">
        <v>2303</v>
      </c>
      <c r="H267" s="1" t="s">
        <v>2304</v>
      </c>
      <c r="K267" s="1" t="s">
        <v>2295</v>
      </c>
      <c r="Q267" s="1" t="str">
        <f t="shared" si="62"/>
        <v/>
      </c>
      <c r="S267" s="1" t="str">
        <f t="shared" si="63"/>
        <v/>
      </c>
      <c r="U267" s="1" t="str">
        <f t="shared" si="64"/>
        <v/>
      </c>
      <c r="W267" s="1" t="s">
        <v>70</v>
      </c>
      <c r="AB267" s="1" t="s">
        <v>54</v>
      </c>
      <c r="AD267" s="1">
        <v>3.0</v>
      </c>
      <c r="AE267" s="1" t="s">
        <v>56</v>
      </c>
      <c r="AF267" s="1">
        <v>3.0</v>
      </c>
      <c r="AG267" s="1" t="s">
        <v>2225</v>
      </c>
      <c r="AH267" s="2">
        <v>43295.0</v>
      </c>
      <c r="AI267" s="1" t="s">
        <v>1003</v>
      </c>
      <c r="AJ267" s="1">
        <v>1.0</v>
      </c>
      <c r="AK267" s="1">
        <v>3.0</v>
      </c>
      <c r="AL267" s="1">
        <v>3.0</v>
      </c>
      <c r="AM267" s="1" t="s">
        <v>632</v>
      </c>
    </row>
    <row r="268" ht="15.75" customHeight="1">
      <c r="A268" s="1" t="s">
        <v>2305</v>
      </c>
      <c r="B268" s="1" t="s">
        <v>41</v>
      </c>
      <c r="C268" s="1" t="s">
        <v>2225</v>
      </c>
      <c r="D268" s="2">
        <v>43295.0</v>
      </c>
      <c r="E268" s="1" t="s">
        <v>2306</v>
      </c>
      <c r="F268" s="1" t="s">
        <v>2307</v>
      </c>
      <c r="G268" s="1" t="s">
        <v>2308</v>
      </c>
      <c r="H268" s="1" t="s">
        <v>2309</v>
      </c>
      <c r="J268" s="1" t="s">
        <v>2310</v>
      </c>
      <c r="Q268" s="1" t="str">
        <f t="shared" si="62"/>
        <v/>
      </c>
      <c r="R268" s="1">
        <v>0.0</v>
      </c>
      <c r="S268" s="1" t="str">
        <f t="shared" ref="S268:S280" si="65">"0"</f>
        <v>0</v>
      </c>
      <c r="T268" s="1">
        <v>0.0</v>
      </c>
      <c r="U268" s="1" t="str">
        <f t="shared" ref="U268:U280" si="66">"0"</f>
        <v>0</v>
      </c>
      <c r="W268" s="1" t="s">
        <v>70</v>
      </c>
      <c r="Y268" s="1" t="s">
        <v>1743</v>
      </c>
      <c r="AB268" s="1" t="s">
        <v>54</v>
      </c>
      <c r="AD268" s="1">
        <v>2.0</v>
      </c>
      <c r="AE268" s="1" t="s">
        <v>56</v>
      </c>
      <c r="AF268" s="1">
        <v>2.0</v>
      </c>
      <c r="AG268" s="1" t="s">
        <v>2225</v>
      </c>
      <c r="AH268" s="2">
        <v>43295.0</v>
      </c>
      <c r="AI268" s="1" t="s">
        <v>1997</v>
      </c>
      <c r="AJ268" s="1">
        <v>36.0</v>
      </c>
      <c r="AK268" s="1">
        <v>38.0</v>
      </c>
      <c r="AL268" s="1">
        <v>3.0</v>
      </c>
      <c r="AM268" s="1" t="s">
        <v>632</v>
      </c>
    </row>
    <row r="269" ht="15.75" customHeight="1">
      <c r="A269" s="1" t="s">
        <v>2311</v>
      </c>
      <c r="B269" s="1" t="s">
        <v>41</v>
      </c>
      <c r="C269" s="1" t="s">
        <v>2225</v>
      </c>
      <c r="D269" s="2">
        <v>43295.0</v>
      </c>
      <c r="E269" s="1" t="s">
        <v>2312</v>
      </c>
      <c r="F269" s="1" t="s">
        <v>2313</v>
      </c>
      <c r="G269" s="1" t="s">
        <v>2314</v>
      </c>
      <c r="H269" s="1" t="s">
        <v>807</v>
      </c>
      <c r="Q269" s="1" t="str">
        <f t="shared" si="62"/>
        <v/>
      </c>
      <c r="R269" s="1">
        <v>0.0</v>
      </c>
      <c r="S269" s="1" t="str">
        <f t="shared" si="65"/>
        <v>0</v>
      </c>
      <c r="T269" s="1">
        <v>0.0</v>
      </c>
      <c r="U269" s="1" t="str">
        <f t="shared" si="66"/>
        <v>0</v>
      </c>
      <c r="W269" s="1" t="s">
        <v>70</v>
      </c>
      <c r="Y269" s="1" t="s">
        <v>1743</v>
      </c>
      <c r="AB269" s="1" t="s">
        <v>54</v>
      </c>
      <c r="AD269" s="1">
        <v>3.0</v>
      </c>
      <c r="AE269" s="1" t="s">
        <v>56</v>
      </c>
      <c r="AF269" s="1">
        <v>3.0</v>
      </c>
      <c r="AG269" s="1" t="s">
        <v>2225</v>
      </c>
      <c r="AH269" s="2">
        <v>43295.0</v>
      </c>
      <c r="AI269" s="1" t="s">
        <v>1078</v>
      </c>
      <c r="AJ269" s="1">
        <v>32.0</v>
      </c>
      <c r="AK269" s="1">
        <v>36.0</v>
      </c>
      <c r="AL269" s="1">
        <v>5.0</v>
      </c>
      <c r="AM269" s="1" t="s">
        <v>632</v>
      </c>
    </row>
    <row r="270" ht="15.75" customHeight="1">
      <c r="A270" s="1" t="s">
        <v>2315</v>
      </c>
      <c r="B270" s="1" t="s">
        <v>41</v>
      </c>
      <c r="C270" s="1" t="s">
        <v>2316</v>
      </c>
      <c r="D270" s="2">
        <v>43295.0</v>
      </c>
      <c r="E270" s="1" t="s">
        <v>2317</v>
      </c>
      <c r="F270" s="1" t="s">
        <v>2318</v>
      </c>
      <c r="G270" s="1" t="s">
        <v>2314</v>
      </c>
      <c r="H270" s="1" t="s">
        <v>2319</v>
      </c>
      <c r="Q270" s="1" t="str">
        <f t="shared" si="62"/>
        <v/>
      </c>
      <c r="R270" s="1">
        <v>0.0</v>
      </c>
      <c r="S270" s="1" t="str">
        <f t="shared" si="65"/>
        <v>0</v>
      </c>
      <c r="T270" s="1">
        <v>0.0</v>
      </c>
      <c r="U270" s="1" t="str">
        <f t="shared" si="66"/>
        <v>0</v>
      </c>
      <c r="W270" s="1" t="s">
        <v>70</v>
      </c>
      <c r="Y270" s="1" t="s">
        <v>1743</v>
      </c>
      <c r="AB270" s="1" t="s">
        <v>54</v>
      </c>
      <c r="AD270" s="1">
        <v>3.0</v>
      </c>
      <c r="AE270" s="1" t="s">
        <v>56</v>
      </c>
      <c r="AF270" s="1">
        <v>3.0</v>
      </c>
      <c r="AG270" s="1" t="s">
        <v>2316</v>
      </c>
      <c r="AH270" s="2">
        <v>43295.0</v>
      </c>
      <c r="AI270" s="1" t="s">
        <v>1149</v>
      </c>
      <c r="AJ270" s="1">
        <v>31.0</v>
      </c>
      <c r="AK270" s="1">
        <v>35.0</v>
      </c>
      <c r="AL270" s="1">
        <v>5.0</v>
      </c>
      <c r="AM270" s="1" t="s">
        <v>632</v>
      </c>
    </row>
    <row r="271" ht="15.75" customHeight="1">
      <c r="A271" s="1" t="s">
        <v>2320</v>
      </c>
      <c r="B271" s="1" t="s">
        <v>41</v>
      </c>
      <c r="C271" s="1" t="s">
        <v>2225</v>
      </c>
      <c r="D271" s="2">
        <v>43295.0</v>
      </c>
      <c r="E271" s="1" t="s">
        <v>2321</v>
      </c>
      <c r="F271" s="1" t="s">
        <v>2322</v>
      </c>
      <c r="G271" s="1" t="s">
        <v>2323</v>
      </c>
      <c r="H271" s="1" t="s">
        <v>1936</v>
      </c>
      <c r="J271" s="1" t="s">
        <v>2310</v>
      </c>
      <c r="Q271" s="1" t="str">
        <f t="shared" si="62"/>
        <v/>
      </c>
      <c r="R271" s="1">
        <v>0.0</v>
      </c>
      <c r="S271" s="1" t="str">
        <f t="shared" si="65"/>
        <v>0</v>
      </c>
      <c r="T271" s="1">
        <v>0.0</v>
      </c>
      <c r="U271" s="1" t="str">
        <f t="shared" si="66"/>
        <v>0</v>
      </c>
      <c r="W271" s="1" t="s">
        <v>70</v>
      </c>
      <c r="Y271" s="1" t="s">
        <v>1743</v>
      </c>
      <c r="AB271" s="1" t="s">
        <v>54</v>
      </c>
      <c r="AD271" s="1">
        <v>3.0</v>
      </c>
      <c r="AE271" s="1" t="s">
        <v>56</v>
      </c>
      <c r="AF271" s="1">
        <v>3.0</v>
      </c>
      <c r="AG271" s="1" t="s">
        <v>2225</v>
      </c>
      <c r="AH271" s="2">
        <v>43295.0</v>
      </c>
      <c r="AI271" s="1" t="s">
        <v>1149</v>
      </c>
      <c r="AJ271" s="1">
        <v>1.0</v>
      </c>
      <c r="AK271" s="1">
        <v>6.0</v>
      </c>
      <c r="AL271" s="1">
        <v>6.0</v>
      </c>
      <c r="AM271" s="1" t="s">
        <v>632</v>
      </c>
    </row>
    <row r="272" ht="15.75" customHeight="1">
      <c r="A272" s="1" t="s">
        <v>2324</v>
      </c>
      <c r="B272" s="1" t="s">
        <v>41</v>
      </c>
      <c r="C272" s="1" t="s">
        <v>2225</v>
      </c>
      <c r="D272" s="2">
        <v>43295.0</v>
      </c>
      <c r="E272" s="1" t="s">
        <v>2325</v>
      </c>
      <c r="F272" s="1" t="s">
        <v>2325</v>
      </c>
      <c r="G272" s="1" t="s">
        <v>2325</v>
      </c>
      <c r="Q272" s="1" t="str">
        <f t="shared" si="62"/>
        <v/>
      </c>
      <c r="R272" s="1">
        <v>0.0</v>
      </c>
      <c r="S272" s="1" t="str">
        <f t="shared" si="65"/>
        <v>0</v>
      </c>
      <c r="T272" s="1">
        <v>0.0</v>
      </c>
      <c r="U272" s="1" t="str">
        <f t="shared" si="66"/>
        <v>0</v>
      </c>
      <c r="W272" s="1" t="s">
        <v>70</v>
      </c>
      <c r="Y272" s="1" t="s">
        <v>1743</v>
      </c>
      <c r="AB272" s="1" t="s">
        <v>54</v>
      </c>
      <c r="AD272" s="1">
        <v>4.0</v>
      </c>
      <c r="AE272" s="1" t="s">
        <v>180</v>
      </c>
      <c r="AF272" s="1">
        <v>4.0</v>
      </c>
      <c r="AG272" s="1" t="s">
        <v>2225</v>
      </c>
      <c r="AH272" s="2">
        <v>43295.0</v>
      </c>
      <c r="AI272" s="1" t="s">
        <v>1298</v>
      </c>
      <c r="AJ272" s="1">
        <v>31.0</v>
      </c>
      <c r="AK272" s="1">
        <v>31.0</v>
      </c>
      <c r="AL272" s="1">
        <v>1.0</v>
      </c>
      <c r="AM272" s="1" t="s">
        <v>632</v>
      </c>
    </row>
    <row r="273" ht="15.75" customHeight="1">
      <c r="A273" s="1" t="s">
        <v>2324</v>
      </c>
      <c r="B273" s="1" t="s">
        <v>41</v>
      </c>
      <c r="C273" s="1" t="s">
        <v>2225</v>
      </c>
      <c r="D273" s="2">
        <v>43295.0</v>
      </c>
      <c r="E273" s="1" t="s">
        <v>2325</v>
      </c>
      <c r="F273" s="1" t="s">
        <v>2325</v>
      </c>
      <c r="G273" s="1" t="s">
        <v>2325</v>
      </c>
      <c r="Q273" s="1" t="str">
        <f t="shared" si="62"/>
        <v/>
      </c>
      <c r="R273" s="1">
        <v>0.0</v>
      </c>
      <c r="S273" s="1" t="str">
        <f t="shared" si="65"/>
        <v>0</v>
      </c>
      <c r="T273" s="1">
        <v>0.0</v>
      </c>
      <c r="U273" s="1" t="str">
        <f t="shared" si="66"/>
        <v>0</v>
      </c>
      <c r="W273" s="1" t="s">
        <v>70</v>
      </c>
      <c r="Y273" s="1" t="s">
        <v>1743</v>
      </c>
      <c r="AB273" s="1" t="s">
        <v>54</v>
      </c>
      <c r="AD273" s="1">
        <v>4.0</v>
      </c>
      <c r="AE273" s="1" t="s">
        <v>180</v>
      </c>
      <c r="AF273" s="1">
        <v>4.0</v>
      </c>
      <c r="AG273" s="1" t="s">
        <v>2225</v>
      </c>
      <c r="AH273" s="2">
        <v>43295.0</v>
      </c>
      <c r="AI273" s="1" t="s">
        <v>1298</v>
      </c>
      <c r="AJ273" s="1">
        <v>32.0</v>
      </c>
      <c r="AK273" s="1">
        <v>32.0</v>
      </c>
      <c r="AL273" s="1">
        <v>1.0</v>
      </c>
      <c r="AM273" s="1" t="s">
        <v>1744</v>
      </c>
    </row>
    <row r="274" ht="15.75" customHeight="1">
      <c r="A274" s="1" t="s">
        <v>2326</v>
      </c>
      <c r="B274" s="1" t="s">
        <v>41</v>
      </c>
      <c r="C274" s="1" t="s">
        <v>2316</v>
      </c>
      <c r="D274" s="2">
        <v>43295.0</v>
      </c>
      <c r="E274" s="1" t="s">
        <v>2327</v>
      </c>
      <c r="F274" s="1" t="s">
        <v>2328</v>
      </c>
      <c r="G274" s="1" t="s">
        <v>2329</v>
      </c>
      <c r="H274" s="1" t="s">
        <v>2330</v>
      </c>
      <c r="Q274" s="1" t="str">
        <f t="shared" si="62"/>
        <v/>
      </c>
      <c r="R274" s="1">
        <v>0.0</v>
      </c>
      <c r="S274" s="1" t="str">
        <f t="shared" si="65"/>
        <v>0</v>
      </c>
      <c r="T274" s="1">
        <v>0.0</v>
      </c>
      <c r="U274" s="1" t="str">
        <f t="shared" si="66"/>
        <v>0</v>
      </c>
      <c r="W274" s="1" t="s">
        <v>70</v>
      </c>
      <c r="Y274" s="1" t="s">
        <v>1743</v>
      </c>
      <c r="AB274" s="1" t="s">
        <v>54</v>
      </c>
      <c r="AD274" s="1">
        <v>4.0</v>
      </c>
      <c r="AE274" s="1" t="s">
        <v>180</v>
      </c>
      <c r="AF274" s="1">
        <v>4.0</v>
      </c>
      <c r="AG274" s="1" t="s">
        <v>2316</v>
      </c>
      <c r="AH274" s="2">
        <v>43295.0</v>
      </c>
      <c r="AI274" s="1" t="s">
        <v>138</v>
      </c>
      <c r="AJ274" s="1">
        <v>29.0</v>
      </c>
      <c r="AK274" s="1">
        <v>30.0</v>
      </c>
      <c r="AL274" s="1">
        <v>2.0</v>
      </c>
      <c r="AM274" s="1" t="s">
        <v>1744</v>
      </c>
    </row>
    <row r="275" ht="15.75" customHeight="1">
      <c r="A275" s="1" t="s">
        <v>2331</v>
      </c>
      <c r="B275" s="1" t="s">
        <v>41</v>
      </c>
      <c r="C275" s="1" t="s">
        <v>2225</v>
      </c>
      <c r="D275" s="2">
        <v>43295.0</v>
      </c>
      <c r="E275" s="1" t="s">
        <v>2332</v>
      </c>
      <c r="F275" s="1" t="s">
        <v>2333</v>
      </c>
      <c r="G275" s="1" t="s">
        <v>2334</v>
      </c>
      <c r="H275" s="1" t="s">
        <v>1697</v>
      </c>
      <c r="J275" s="1" t="s">
        <v>2310</v>
      </c>
      <c r="Q275" s="1" t="str">
        <f t="shared" si="62"/>
        <v/>
      </c>
      <c r="R275" s="1">
        <v>0.0</v>
      </c>
      <c r="S275" s="1" t="str">
        <f t="shared" si="65"/>
        <v>0</v>
      </c>
      <c r="T275" s="1">
        <v>0.0</v>
      </c>
      <c r="U275" s="1" t="str">
        <f t="shared" si="66"/>
        <v>0</v>
      </c>
      <c r="W275" s="1" t="s">
        <v>70</v>
      </c>
      <c r="Y275" s="1" t="s">
        <v>1743</v>
      </c>
      <c r="AB275" s="1" t="s">
        <v>54</v>
      </c>
      <c r="AD275" s="1">
        <v>3.0</v>
      </c>
      <c r="AE275" s="1" t="s">
        <v>56</v>
      </c>
      <c r="AF275" s="1">
        <v>3.0</v>
      </c>
      <c r="AG275" s="1" t="s">
        <v>2225</v>
      </c>
      <c r="AH275" s="2">
        <v>43295.0</v>
      </c>
      <c r="AI275" s="1" t="s">
        <v>639</v>
      </c>
      <c r="AJ275" s="1">
        <v>37.0</v>
      </c>
      <c r="AK275" s="1">
        <v>38.0</v>
      </c>
      <c r="AL275" s="1">
        <v>2.0</v>
      </c>
      <c r="AM275" s="1" t="s">
        <v>632</v>
      </c>
    </row>
    <row r="276" ht="15.75" customHeight="1">
      <c r="A276" s="1" t="s">
        <v>2335</v>
      </c>
      <c r="B276" s="1" t="s">
        <v>41</v>
      </c>
      <c r="C276" s="1" t="s">
        <v>2225</v>
      </c>
      <c r="D276" s="2">
        <v>43295.0</v>
      </c>
      <c r="E276" s="1" t="s">
        <v>2336</v>
      </c>
      <c r="F276" s="1" t="s">
        <v>2337</v>
      </c>
      <c r="G276" s="1" t="s">
        <v>2338</v>
      </c>
      <c r="H276" s="1" t="s">
        <v>2339</v>
      </c>
      <c r="Q276" s="1" t="str">
        <f t="shared" si="62"/>
        <v/>
      </c>
      <c r="R276" s="1">
        <v>0.0</v>
      </c>
      <c r="S276" s="1" t="str">
        <f t="shared" si="65"/>
        <v>0</v>
      </c>
      <c r="T276" s="1">
        <v>0.0</v>
      </c>
      <c r="U276" s="1" t="str">
        <f t="shared" si="66"/>
        <v>0</v>
      </c>
      <c r="W276" s="1" t="s">
        <v>70</v>
      </c>
      <c r="Y276" s="1" t="s">
        <v>1743</v>
      </c>
      <c r="AB276" s="1" t="s">
        <v>54</v>
      </c>
      <c r="AD276" s="1">
        <v>5.0</v>
      </c>
      <c r="AE276" s="1" t="s">
        <v>180</v>
      </c>
      <c r="AF276" s="1">
        <v>4.0</v>
      </c>
      <c r="AG276" s="1" t="s">
        <v>2225</v>
      </c>
      <c r="AH276" s="2">
        <v>43295.0</v>
      </c>
      <c r="AI276" s="1" t="s">
        <v>631</v>
      </c>
      <c r="AJ276" s="1">
        <v>30.0</v>
      </c>
      <c r="AK276" s="1">
        <v>32.0</v>
      </c>
      <c r="AL276" s="1">
        <v>3.0</v>
      </c>
      <c r="AM276" s="1" t="s">
        <v>1744</v>
      </c>
    </row>
    <row r="277" ht="15.75" customHeight="1">
      <c r="A277" s="1" t="s">
        <v>2340</v>
      </c>
      <c r="B277" s="1" t="s">
        <v>41</v>
      </c>
      <c r="C277" s="1" t="s">
        <v>2225</v>
      </c>
      <c r="D277" s="2">
        <v>43295.0</v>
      </c>
      <c r="E277" s="1" t="s">
        <v>2341</v>
      </c>
      <c r="F277" s="1" t="s">
        <v>2341</v>
      </c>
      <c r="G277" s="1" t="s">
        <v>2341</v>
      </c>
      <c r="Q277" s="1" t="str">
        <f t="shared" si="62"/>
        <v/>
      </c>
      <c r="R277" s="1">
        <v>0.0</v>
      </c>
      <c r="S277" s="1" t="str">
        <f t="shared" si="65"/>
        <v>0</v>
      </c>
      <c r="T277" s="1">
        <v>0.0</v>
      </c>
      <c r="U277" s="1" t="str">
        <f t="shared" si="66"/>
        <v>0</v>
      </c>
      <c r="W277" s="1" t="s">
        <v>70</v>
      </c>
      <c r="Y277" s="1" t="s">
        <v>1743</v>
      </c>
      <c r="AB277" s="1" t="s">
        <v>54</v>
      </c>
      <c r="AD277" s="1">
        <v>4.0</v>
      </c>
      <c r="AE277" s="1" t="s">
        <v>180</v>
      </c>
      <c r="AF277" s="1">
        <v>4.0</v>
      </c>
      <c r="AG277" s="1" t="s">
        <v>2225</v>
      </c>
      <c r="AH277" s="2">
        <v>43295.0</v>
      </c>
      <c r="AI277" s="1" t="s">
        <v>138</v>
      </c>
      <c r="AJ277" s="1">
        <v>31.0</v>
      </c>
      <c r="AK277" s="1">
        <v>32.0</v>
      </c>
      <c r="AL277" s="1">
        <v>2.0</v>
      </c>
      <c r="AM277" s="1" t="s">
        <v>1744</v>
      </c>
    </row>
    <row r="278" ht="15.75" customHeight="1">
      <c r="A278" s="1" t="s">
        <v>2342</v>
      </c>
      <c r="B278" s="1" t="s">
        <v>41</v>
      </c>
      <c r="C278" s="1" t="s">
        <v>2316</v>
      </c>
      <c r="D278" s="2">
        <v>43295.0</v>
      </c>
      <c r="E278" s="1" t="s">
        <v>2343</v>
      </c>
      <c r="F278" s="1" t="s">
        <v>2344</v>
      </c>
      <c r="G278" s="1" t="s">
        <v>2345</v>
      </c>
      <c r="H278" s="1" t="s">
        <v>2346</v>
      </c>
      <c r="Q278" s="1" t="str">
        <f t="shared" si="62"/>
        <v/>
      </c>
      <c r="R278" s="1">
        <v>0.0</v>
      </c>
      <c r="S278" s="1" t="str">
        <f t="shared" si="65"/>
        <v>0</v>
      </c>
      <c r="T278" s="1">
        <v>0.0</v>
      </c>
      <c r="U278" s="1" t="str">
        <f t="shared" si="66"/>
        <v>0</v>
      </c>
      <c r="W278" s="1" t="s">
        <v>70</v>
      </c>
      <c r="Y278" s="1" t="s">
        <v>1743</v>
      </c>
      <c r="AB278" s="1" t="s">
        <v>54</v>
      </c>
      <c r="AD278" s="1">
        <v>5.0</v>
      </c>
      <c r="AE278" s="1" t="s">
        <v>180</v>
      </c>
      <c r="AF278" s="1">
        <v>4.0</v>
      </c>
      <c r="AG278" s="1" t="s">
        <v>2316</v>
      </c>
      <c r="AH278" s="2">
        <v>43295.0</v>
      </c>
      <c r="AI278" s="1" t="s">
        <v>631</v>
      </c>
      <c r="AJ278" s="1">
        <v>11.0</v>
      </c>
      <c r="AK278" s="1">
        <v>11.0</v>
      </c>
      <c r="AL278" s="1">
        <v>1.0</v>
      </c>
      <c r="AM278" s="1" t="s">
        <v>1744</v>
      </c>
    </row>
    <row r="279" ht="15.75" customHeight="1">
      <c r="A279" s="1" t="s">
        <v>2347</v>
      </c>
      <c r="B279" s="1" t="s">
        <v>41</v>
      </c>
      <c r="C279" s="1" t="s">
        <v>2316</v>
      </c>
      <c r="D279" s="2">
        <v>43295.0</v>
      </c>
      <c r="E279" s="1" t="s">
        <v>2348</v>
      </c>
      <c r="F279" s="1" t="s">
        <v>2348</v>
      </c>
      <c r="G279" s="1" t="s">
        <v>2348</v>
      </c>
      <c r="Q279" s="1" t="str">
        <f t="shared" si="62"/>
        <v/>
      </c>
      <c r="R279" s="1">
        <v>0.0</v>
      </c>
      <c r="S279" s="1" t="str">
        <f t="shared" si="65"/>
        <v>0</v>
      </c>
      <c r="T279" s="1">
        <v>0.0</v>
      </c>
      <c r="U279" s="1" t="str">
        <f t="shared" si="66"/>
        <v>0</v>
      </c>
      <c r="W279" s="1" t="s">
        <v>70</v>
      </c>
      <c r="Y279" s="1" t="s">
        <v>1743</v>
      </c>
      <c r="AB279" s="1" t="s">
        <v>54</v>
      </c>
      <c r="AD279" s="1">
        <v>5.0</v>
      </c>
      <c r="AE279" s="1" t="s">
        <v>180</v>
      </c>
      <c r="AF279" s="1">
        <v>4.0</v>
      </c>
      <c r="AG279" s="1" t="s">
        <v>2316</v>
      </c>
      <c r="AH279" s="2">
        <v>43295.0</v>
      </c>
      <c r="AI279" s="1" t="s">
        <v>631</v>
      </c>
      <c r="AJ279" s="1">
        <v>13.0</v>
      </c>
      <c r="AK279" s="1">
        <v>14.0</v>
      </c>
      <c r="AL279" s="1">
        <v>2.0</v>
      </c>
      <c r="AM279" s="1" t="s">
        <v>1744</v>
      </c>
    </row>
    <row r="280" ht="15.75" customHeight="1">
      <c r="A280" s="1" t="s">
        <v>2349</v>
      </c>
      <c r="B280" s="1" t="s">
        <v>41</v>
      </c>
      <c r="C280" s="1" t="s">
        <v>2316</v>
      </c>
      <c r="D280" s="2">
        <v>43295.0</v>
      </c>
      <c r="E280" s="1" t="s">
        <v>2350</v>
      </c>
      <c r="F280" s="1" t="s">
        <v>2351</v>
      </c>
      <c r="G280" s="1" t="s">
        <v>2352</v>
      </c>
      <c r="H280" s="1" t="s">
        <v>2353</v>
      </c>
      <c r="Q280" s="1" t="str">
        <f t="shared" si="62"/>
        <v/>
      </c>
      <c r="R280" s="1">
        <v>0.0</v>
      </c>
      <c r="S280" s="1" t="str">
        <f t="shared" si="65"/>
        <v>0</v>
      </c>
      <c r="T280" s="1">
        <v>0.0</v>
      </c>
      <c r="U280" s="1" t="str">
        <f t="shared" si="66"/>
        <v>0</v>
      </c>
      <c r="W280" s="1" t="s">
        <v>70</v>
      </c>
      <c r="Y280" s="1" t="s">
        <v>1743</v>
      </c>
      <c r="AB280" s="1" t="s">
        <v>54</v>
      </c>
      <c r="AD280" s="1">
        <v>5.0</v>
      </c>
      <c r="AE280" s="1" t="s">
        <v>180</v>
      </c>
      <c r="AF280" s="1">
        <v>4.0</v>
      </c>
      <c r="AG280" s="1" t="s">
        <v>2316</v>
      </c>
      <c r="AH280" s="2">
        <v>43295.0</v>
      </c>
      <c r="AI280" s="1" t="s">
        <v>117</v>
      </c>
      <c r="AJ280" s="1">
        <v>12.0</v>
      </c>
      <c r="AK280" s="1">
        <v>14.0</v>
      </c>
      <c r="AL280" s="1">
        <v>3.0</v>
      </c>
      <c r="AM280" s="1" t="s">
        <v>1744</v>
      </c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